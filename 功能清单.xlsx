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153" windowHeight="9680"/>
  </bookViews>
  <sheets>
    <sheet name="报价单" sheetId="9" r:id="rId1"/>
    <sheet name="功能清单" sheetId="5" r:id="rId2"/>
    <sheet name="软件部署服务器租赁" sheetId="10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<sst xmlns="http://schemas.openxmlformats.org/spreadsheetml/2006/main" count="367" uniqueCount="261">
  <si>
    <t>锦铂访平台项目报价</t>
  </si>
  <si>
    <t>单位：人民币¥（元）</t>
  </si>
  <si>
    <t>序号</t>
  </si>
  <si>
    <t>服务内容</t>
  </si>
  <si>
    <t>规格</t>
  </si>
  <si>
    <t>单位</t>
  </si>
  <si>
    <t>产品总价</t>
  </si>
  <si>
    <t>折扣率（%）</t>
  </si>
  <si>
    <t>折后价</t>
  </si>
  <si>
    <t>备注</t>
  </si>
  <si>
    <t>一</t>
  </si>
  <si>
    <t>外勤管家平台功能清单</t>
  </si>
  <si>
    <t>套</t>
  </si>
  <si>
    <t>二</t>
  </si>
  <si>
    <t>软件部署服务器租赁</t>
  </si>
  <si>
    <t>此费用为年服务器租赁费用</t>
  </si>
  <si>
    <t>小计1</t>
  </si>
  <si>
    <t>首年维保</t>
  </si>
  <si>
    <t>小计2</t>
  </si>
  <si>
    <t>首年维保免费，次年为软件部分实施总额10%</t>
  </si>
  <si>
    <t>总计</t>
  </si>
  <si>
    <t>最终确认</t>
  </si>
  <si>
    <t>1、此报价不含第三方软件费用；
2、所有报价均为含税报价，税率3%
3、功能清单详见sheet页；</t>
  </si>
  <si>
    <t>锦铂访平台功能清单</t>
  </si>
  <si>
    <t>产品</t>
  </si>
  <si>
    <t>板块</t>
  </si>
  <si>
    <t>一级功能</t>
  </si>
  <si>
    <t>二级功能</t>
  </si>
  <si>
    <t>新增功能说明</t>
  </si>
  <si>
    <t>后端开发</t>
  </si>
  <si>
    <t>前端开发</t>
  </si>
  <si>
    <t>UI设计</t>
  </si>
  <si>
    <t>产品规划</t>
  </si>
  <si>
    <t>小程序</t>
  </si>
  <si>
    <t>客户管理</t>
  </si>
  <si>
    <t>终端</t>
  </si>
  <si>
    <t>查询</t>
  </si>
  <si>
    <t>支持通过客户名称、编号、手机号、联系人手机号维度快速查询终端客户</t>
  </si>
  <si>
    <t>新增终端</t>
  </si>
  <si>
    <t>客户经理可新增终端客户信息，新增终端字段：名称、终端编码、类型、客户等级、拜访频率、客户经理、客户协助员、终端标签、供应商、销售区域、合作状态、电话、备注、门头照、拜访频率、营业执照、营业执照名称、工商注册号、注册日期、经营者、营业面积、营业时间、是否开通线上平台、所属管辖部门、KA系统，地区、详细地址、标准位置、客户联系人（联系人姓名、是否主联系人、手机号、备注、职务）、收货地址（收件人姓名、手机、收货地址）。</t>
  </si>
  <si>
    <t>终端列表</t>
  </si>
  <si>
    <t>按账户权限展示所属的终端客户信息，可查看终端客户明细如资料详情、收货地址、历史订单、客户联系人、拜访记录</t>
  </si>
  <si>
    <t>新增终端审批</t>
  </si>
  <si>
    <t>展示新增终端客户的审批状态（我的审批、我的申请、抄送我的），由客户经理的上级审批新、展示审批流程，审批通过转换为可正式拜访的终端客户，未审批通过或审批中的客户不可拜访。</t>
  </si>
  <si>
    <t>直营商</t>
  </si>
  <si>
    <t>支持通过客户名称、编号、手机号、联系人手机号维度快速查询直营客户</t>
  </si>
  <si>
    <t>新增直营商</t>
  </si>
  <si>
    <t>主管及具有权限的角色可新增直营商客户信息，新增终端字段：名称、直营商编码、类型、直营商等级、拜访频率、客户经理、客户协助员、直营商标签、供应商、销售区域、合作状态、电话、备注、门头照、拜访频率、营业执照、营业执照名称、工商注册号、注册日期、经营者、营业面积、营业时间、是否开通线上平台、所属管辖部门、KA系统，地区、详细地址、标准位置、收货地址（收件人姓名、手机、收货地址）。</t>
  </si>
  <si>
    <t>直营商列表</t>
  </si>
  <si>
    <t>按账户权限展示所属的直营商客户信息，可查看终端客户明细如资料详情、收货地址、历史订单、客户联系人、拜访记录</t>
  </si>
  <si>
    <t>新增直营商审批</t>
  </si>
  <si>
    <t>展示新增直营商客户的审批状态（我的审批、我的申请、抄送我的），由新增角色的上级审批或默认通过、展示审批流程，审批通过转换为可正式拜访的直营商客户，未审批通过或审批中的客户不可拜访。</t>
  </si>
  <si>
    <t>KOL</t>
  </si>
  <si>
    <t>支持通过客户名称、编号、手机号、联系人手机号维度快速查询KOL客户</t>
  </si>
  <si>
    <t>新增KOL</t>
  </si>
  <si>
    <t>客户经理可新增KOL客户信息，新增KOL字段：KOL编码、姓名、档案属性、消费者类型、拜访频率、是否下单决定人、当前所在单位、性别、电话、阳历生日、个人爱好、KOL级别、客户经理、客户协助员、部门、所在城市、合作状态、备注、职业/职务、年龄段、饮酒频率、用酒场景、地区、详细地址、标准位置、收货地址（收件人姓名、手机、电话、是否默认地址、送货地址、详细地址）</t>
  </si>
  <si>
    <t>KOL列表</t>
  </si>
  <si>
    <t>按账户权限展示所属的KOL客户信息</t>
  </si>
  <si>
    <t>新增KOL审批</t>
  </si>
  <si>
    <t>展示新增KOL客户的审批状态（我的审批、我的申请、抄送我的），由新增角色的上级审批或默认通过、展示审批流程，审批通过转换为可正式拜访的KOL客户，未审批通过或审批中的客户不可拜访。</t>
  </si>
  <si>
    <t>客户联系人</t>
  </si>
  <si>
    <t>支持通过客户名称、编号、手机号、联系人手机号维度快速查询所属客户对应的客户联系人信息</t>
  </si>
  <si>
    <t>客户联系人列表</t>
  </si>
  <si>
    <t>按账户权限展示所属的客户联系人信息（联系人姓名、所属客户、手机号、所属客户经理），支持编辑信息，重新编辑信息不需要审批，直接更新。可对客户联系人拨打电话、发短信。</t>
  </si>
  <si>
    <t>计划管理</t>
  </si>
  <si>
    <t>拜访计划</t>
  </si>
  <si>
    <t>新建计划</t>
  </si>
  <si>
    <t>由客户经理新建拜访计划，上级审核新建的拜访计划。新增拜访计划字段有：拜访人、拜访客户、拜访日期（固定时间、周期时间）、计划内容、拜访人部门、拜访人账号。</t>
  </si>
  <si>
    <t>计划审批</t>
  </si>
  <si>
    <t>展示待审批的拜访计划、展示审批流程，拜访的创建人上级领导可进行审批操作，创建人可查询审批进度、撤销计划。</t>
  </si>
  <si>
    <t>计划列表</t>
  </si>
  <si>
    <t>以时间维度（今日、本周、本月、固定时间端）展示时间段已创建好的拜访计划</t>
  </si>
  <si>
    <t>支持选择时间、拜访人姓名、客户姓名等维度查询</t>
  </si>
  <si>
    <t>路线计划</t>
  </si>
  <si>
    <t>新建路线</t>
  </si>
  <si>
    <t>由客户经理新建拜访路线，上级审核新建的拜访路线。新增拜访路线字段有：路线名称、拜访人、添加客户（可多选）、备注</t>
  </si>
  <si>
    <t>计划审核</t>
  </si>
  <si>
    <t>展示待审批的路线计划、展示审批流程，拜访的创建人上级领导可进行审批操作，创建人可查询审批进度、撤销计划。</t>
  </si>
  <si>
    <t>路线列表</t>
  </si>
  <si>
    <t>以拜访人维度展示时间段已创建好的路线计划</t>
  </si>
  <si>
    <t>逾期提醒</t>
  </si>
  <si>
    <t>逾期列表</t>
  </si>
  <si>
    <t>列举在拜访频率内没有进行拜访的客户，展示的字段有：客户名称、客户编码、客户地址 、客户类型、客户经理、拜访频率、最近拜访时间</t>
  </si>
  <si>
    <t>客户拜访</t>
  </si>
  <si>
    <t>拜访上报（计划）</t>
  </si>
  <si>
    <t>拜访任务列表中展示最近需要计划拜访的任务清单，客户经理 查看自己的拜访任务、上级管理可查看下属的拜访任务。</t>
  </si>
  <si>
    <t>拜访上报</t>
  </si>
  <si>
    <t>抵达签到（需校验签到定位是否在门店地址200m范围内）、填写上报任务（铺货上报、库存上报、竞品上报）、离开签到（需校验签到定位是否在门店地址200m范围内）</t>
  </si>
  <si>
    <t>拜访上报（临时）</t>
  </si>
  <si>
    <t>活动上报</t>
  </si>
  <si>
    <t>选择活动，上传活动陈列照片、兑付照片、门店定位拍照</t>
  </si>
  <si>
    <t>拜访记录</t>
  </si>
  <si>
    <t>临时拜访记录</t>
  </si>
  <si>
    <t>展示临时拜访记录，个人账号查看自己提交的拜访记录，管理账号查看下属的拜访记录</t>
  </si>
  <si>
    <t>计划拜访记录</t>
  </si>
  <si>
    <t>展示临时计划记录，个人账号查看自己提交的拜访记录，管理账号查看下属的拜访记录</t>
  </si>
  <si>
    <t>订单管理</t>
  </si>
  <si>
    <t>销售订单</t>
  </si>
  <si>
    <t>订单查询</t>
  </si>
  <si>
    <t>根据客户名称、订单编号、订单状态、客户经理、下单时间等维度查询订单</t>
  </si>
  <si>
    <t>新增订单</t>
  </si>
  <si>
    <t>客户经理可创建对终端、KOL的销售订单 申请，部门经理可创建对直营商的销售订单申请，创建订单字段：选择客户、选择发货仓库、添加商品。创建订单后需提交审批，审批通过生成正式销售订单。</t>
  </si>
  <si>
    <t>订单审核</t>
  </si>
  <si>
    <t>客户经理创建的销售订单申请由部门经理-财务审批，部门经理创建的销售订单申请财务审批，审批通过成为销售订单，审批驳回后，订单申请失效。</t>
  </si>
  <si>
    <t>发货订单</t>
  </si>
  <si>
    <t>销售订单审批通过后生成发货订单，发货单字段：订单编号、客户名称、下单时间、优惠后金额、发货仓库、业务员、交货日期、总品种、总数量</t>
  </si>
  <si>
    <t>出库确认</t>
  </si>
  <si>
    <t>由业务员操作，选择订单点击出库确认时需上传接收清单，确认上传后更新库存状态</t>
  </si>
  <si>
    <t>退货订单</t>
  </si>
  <si>
    <t>退货订单有2种：管理订单退货、选择商品退货。客户经理可创建对终端、KOL的退货订单申请，部门经理可创建对直营商的退货订单申请。创建订单审批通过后生成正式退货订单。</t>
  </si>
  <si>
    <t>客户经理创建的退货订单申请由部门经理-财务审批，部门经理创建的退货订单申请财务审批。</t>
  </si>
  <si>
    <t>退货确认</t>
  </si>
  <si>
    <t>库存管理</t>
  </si>
  <si>
    <t>启光库存</t>
  </si>
  <si>
    <t>库存查询</t>
  </si>
  <si>
    <t>查询启光商品库存，查询维度包含商品数、库存数、总成本数量，按仓库查询、数量排序、商品类型查询</t>
  </si>
  <si>
    <t>直营商库存</t>
  </si>
  <si>
    <t>查询直营商商品库存，查询维度包含商品数、库存数、总成本数量，按仓库查询、数量排序、商品类型、直营商类型查询</t>
  </si>
  <si>
    <t>活动管理</t>
  </si>
  <si>
    <t>活动申请</t>
  </si>
  <si>
    <t>客户经理可为客户申请活动、活动申请由上级领导和财务审批</t>
  </si>
  <si>
    <t>在活动期限内可上传客户的活动记录</t>
  </si>
  <si>
    <t>活动上报记录</t>
  </si>
  <si>
    <t>查看历史上传的活动上报记录，可按照客户名称、活动名称、时间等维度查询</t>
  </si>
  <si>
    <t>待办事项</t>
  </si>
  <si>
    <t>待审批</t>
  </si>
  <si>
    <t>任务审批列表</t>
  </si>
  <si>
    <t>展示业务流程中需要审批的任务节点，包含新增客户审批、新增拜访计划审、新增拜访路线审批、新增销售订单审批、新增退货订单审批、活动申请审批。具有权限的角色账号可操作审批</t>
  </si>
  <si>
    <t>待拜访</t>
  </si>
  <si>
    <t>拜访任务处理</t>
  </si>
  <si>
    <t>根据拜访计划时间，展示客户经理最近1天要拜访的客户</t>
  </si>
  <si>
    <t>待发货</t>
  </si>
  <si>
    <t>待发货列表</t>
  </si>
  <si>
    <t>展示财务审批通过，且没有确认出库的订单信息，可在确认页面上传凭证完成出库订单确认</t>
  </si>
  <si>
    <t>退货待确认列表</t>
  </si>
  <si>
    <t>展示待操作确认的退货订单，可在确认页面上传凭证完成订单确认</t>
  </si>
  <si>
    <t>账号管理</t>
  </si>
  <si>
    <t>账号登陆</t>
  </si>
  <si>
    <t>输入账号密码登陆小程序</t>
  </si>
  <si>
    <t>个人信息</t>
  </si>
  <si>
    <t>展示登陆账号的个人信息，如名称、手机号、所属部门</t>
  </si>
  <si>
    <t>切换账号</t>
  </si>
  <si>
    <t>退出当前账号，切换登陆新账号</t>
  </si>
  <si>
    <t>管理后台</t>
  </si>
  <si>
    <t>批量导入</t>
  </si>
  <si>
    <t>通过表格批量导入终端客户资料</t>
  </si>
  <si>
    <t>展示所属的终端客户信息，可查看终端客户明细如资料详情、收货地址、历史订单、客户联系人、拜访记录</t>
  </si>
  <si>
    <t>待审批终端列表</t>
  </si>
  <si>
    <t>按账户权限展示待审批的终端客户信息，可查看终端客户明细如资料详情、收货地址、历史订单、客户联系人、拜访记录</t>
  </si>
  <si>
    <t>导出数据</t>
  </si>
  <si>
    <t>将选中的数据以表格形式导出</t>
  </si>
  <si>
    <t>通过表格批量导入直营商资料</t>
  </si>
  <si>
    <t>待审批直营商列表</t>
  </si>
  <si>
    <t>按账户权限展示待审批的直营商客户信息，可查看直营商明细如资料详情、收货地址、历史订单、客户联系人、拜访记录</t>
  </si>
  <si>
    <t>通过表格批量导入KOL资料</t>
  </si>
  <si>
    <t>待审批KOL列表</t>
  </si>
  <si>
    <t>按账户权限展示待审批的KOL客户信息，可查看直营商明细如资料详情、收货地址、历史订单、客户联系人、拜访记录</t>
  </si>
  <si>
    <t>新增客户联系人</t>
  </si>
  <si>
    <t>新增客户联系人（联系人姓名、所属客户、手机号、所属客户经理）</t>
  </si>
  <si>
    <t>外勤管理</t>
  </si>
  <si>
    <t>拜访计划列表</t>
  </si>
  <si>
    <t>待审批计划列表</t>
  </si>
  <si>
    <t>以时间维度（今日、本周、本月、固定时间端）展示时间段待审批的拜访计划</t>
  </si>
  <si>
    <t>线路管理</t>
  </si>
  <si>
    <t>拜访路线列表</t>
  </si>
  <si>
    <t>待审批路线列表</t>
  </si>
  <si>
    <t>以拜访人维度展示时间段已创建好的待审核路线计划</t>
  </si>
  <si>
    <t>以时间维度（今日、本周、本月、固定时间端）展示时间段已创建好的拜访路线</t>
  </si>
  <si>
    <t>拜访管理</t>
  </si>
  <si>
    <t>展示所有客户经理上传的拜访记录</t>
  </si>
  <si>
    <t>上报记录</t>
  </si>
  <si>
    <t>展示所有客户经理上传的拜访上报记录</t>
  </si>
  <si>
    <t>外勤轨迹</t>
  </si>
  <si>
    <t>轨迹清单</t>
  </si>
  <si>
    <t>以时间维度（今日、本周、本月、固定时间端）记录客户经理的拜访打卡信息</t>
  </si>
  <si>
    <t>以时间维度（今日、本周、本月、固定时间端）查询轨迹清单</t>
  </si>
  <si>
    <t>支持表格格式导出数据</t>
  </si>
  <si>
    <t>新增销售订单</t>
  </si>
  <si>
    <t>销售订单列表</t>
  </si>
  <si>
    <t>展示已创建的销售订单信息</t>
  </si>
  <si>
    <t>新增订单审批列表</t>
  </si>
  <si>
    <t>展示已创建、待审核的的销售订单信息</t>
  </si>
  <si>
    <t>批量导入销售订单，批量导入的订单需审核</t>
  </si>
  <si>
    <t>新增退货订单</t>
  </si>
  <si>
    <t>客户经理可创建对终端、KOL的退货订单申请，部门经理可创建对直营商的退货订单申请，创建订单字段：选择客户、选择发货仓库、添加商品。创建订单后需提交审批，审批通过生成正式销售订单。</t>
  </si>
  <si>
    <t>退货订单列表</t>
  </si>
  <si>
    <t>展示已创建、待审核的的退货订单信息</t>
  </si>
  <si>
    <t>批量导入退货订单，批量导入的订单需审核</t>
  </si>
  <si>
    <t>发货订单列表</t>
  </si>
  <si>
    <t>展示已创建的发货订单信息</t>
  </si>
  <si>
    <t>待确认发货订单列表</t>
  </si>
  <si>
    <t>展示已创建、待审核的的发货订单信息</t>
  </si>
  <si>
    <t>批量导入发货订单，批量导入的订单需审核</t>
  </si>
  <si>
    <t>库存管理-启光</t>
  </si>
  <si>
    <t>采购订单</t>
  </si>
  <si>
    <t>新增采购单</t>
  </si>
  <si>
    <t>总管理可新增采购入库单，创建订单后需提交审批，审批通过生成正式销售订单。</t>
  </si>
  <si>
    <t>采购订单列表</t>
  </si>
  <si>
    <t>展示已创建的采购订单信息</t>
  </si>
  <si>
    <t>导出采购订单订单数据</t>
  </si>
  <si>
    <t>采购退货单</t>
  </si>
  <si>
    <t>新增退货单</t>
  </si>
  <si>
    <t>总管理可新增采购退货单，创建订单后需提交审批，审批通过生成正式退货订单。</t>
  </si>
  <si>
    <t>展示已创建的退货订单信息</t>
  </si>
  <si>
    <t>导出采购退货单订单数据</t>
  </si>
  <si>
    <t>库存管理-自营商</t>
  </si>
  <si>
    <t>导出库存订单数据</t>
  </si>
  <si>
    <t>营销费用</t>
  </si>
  <si>
    <t>新增活动</t>
  </si>
  <si>
    <t>管理员账号可创建活动</t>
  </si>
  <si>
    <t>申请活动记录</t>
  </si>
  <si>
    <t>展示客户经理申请的活动记录</t>
  </si>
  <si>
    <t>展示客户经理提交的活动上报记录清单</t>
  </si>
  <si>
    <t>系统管理</t>
  </si>
  <si>
    <t>员工管理</t>
  </si>
  <si>
    <t>新增员工</t>
  </si>
  <si>
    <t>展示已创建的员工账号信息，可新增账号</t>
  </si>
  <si>
    <t>导入数据</t>
  </si>
  <si>
    <t>可批量导入新增员工账号</t>
  </si>
  <si>
    <t xml:space="preserve">导出 </t>
  </si>
  <si>
    <t>批量导出员工数据</t>
  </si>
  <si>
    <t>角色管理</t>
  </si>
  <si>
    <t>角色授权</t>
  </si>
  <si>
    <t>可对已创建的账号更换角色，修改角色权限</t>
  </si>
  <si>
    <t>商品管理</t>
  </si>
  <si>
    <t>新增商品</t>
  </si>
  <si>
    <t>新增商品、批量导入库存商品</t>
  </si>
  <si>
    <t>商品列表</t>
  </si>
  <si>
    <t>展示自营商品信息，如商品规则、名称、规格、类型、品牌、状态</t>
  </si>
  <si>
    <t>铺货上报商品</t>
  </si>
  <si>
    <t>从商量列表中添加商品为铺货上报商品</t>
  </si>
  <si>
    <t>竞品商品</t>
  </si>
  <si>
    <t>添加竞品商品清单，如名称、图片、 编码、规格、属性</t>
  </si>
  <si>
    <t>批量导出商品数据</t>
  </si>
  <si>
    <t>审批管理</t>
  </si>
  <si>
    <t>添加客户审批流程配置</t>
  </si>
  <si>
    <t>配置客户审批流程，可更换流程中的审批账号</t>
  </si>
  <si>
    <t>添加计划审批流程配置</t>
  </si>
  <si>
    <t>配置计划审批流程，可更换流程中的审批账号</t>
  </si>
  <si>
    <t>新增订单审批流程配置</t>
  </si>
  <si>
    <t>配置新增销售、退货、发货、入库、出库订单审批流程，可更换流程中的审批账号</t>
  </si>
  <si>
    <t>新增活动审批流程配置</t>
  </si>
  <si>
    <t>配置活动审批流程，可更换流程中的审批账号</t>
  </si>
  <si>
    <t>系统开发工时</t>
  </si>
  <si>
    <t>系统测试工时</t>
  </si>
  <si>
    <t>项目管理工时</t>
  </si>
  <si>
    <t>总计工时</t>
  </si>
  <si>
    <t>项目报价</t>
  </si>
  <si>
    <t>资源</t>
  </si>
  <si>
    <t>明细</t>
  </si>
  <si>
    <t>价格（元/月）</t>
  </si>
  <si>
    <t>服务端</t>
  </si>
  <si>
    <t>ecs.c3al.2xlarge 8vCPU 16GiB 200GSSD</t>
  </si>
  <si>
    <t>数据库</t>
  </si>
  <si>
    <t>RDS双节点 2核4G</t>
  </si>
  <si>
    <t>OSS</t>
  </si>
  <si>
    <t>500G</t>
  </si>
  <si>
    <t>流量</t>
  </si>
  <si>
    <t>100G</t>
  </si>
  <si>
    <t>合计（月）</t>
  </si>
  <si>
    <t>总计（年）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</si>
</sst>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6" formatCode="&quot;￥&quot;#,##0;[Red]&quot;￥&quot;\-#,##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_ "/>
  </numFmts>
  <fonts count="34">
    <font>
      <sz val="11"/>
      <color theme="1"/>
      <name val="宋体"/>
      <charset val="134"/>
      <scheme val="minor"/>
    </font>
    <font>
      <b/>
      <sz val="10"/>
      <color theme="0"/>
      <name val="微软雅黑"/>
      <charset val="134"/>
    </font>
    <font>
      <sz val="10"/>
      <color theme="1"/>
      <name val="微软雅黑"/>
      <charset val="134"/>
    </font>
    <font>
      <b/>
      <sz val="10"/>
      <color rgb="FFFF0000"/>
      <name val="微软雅黑"/>
      <charset val="134"/>
    </font>
    <font>
      <b/>
      <sz val="10"/>
      <color theme="1"/>
      <name val="微软雅黑"/>
      <charset val="134"/>
    </font>
    <font>
      <b/>
      <sz val="10"/>
      <name val="微软雅黑"/>
      <charset val="134"/>
    </font>
    <font>
      <sz val="10"/>
      <name val="微软雅黑"/>
      <charset val="134"/>
    </font>
    <font>
      <b/>
      <i/>
      <sz val="10"/>
      <color theme="0"/>
      <name val="微软雅黑"/>
      <charset val="134"/>
    </font>
    <font>
      <sz val="10"/>
      <color theme="0"/>
      <name val="微软雅黑"/>
      <charset val="134"/>
    </font>
    <font>
      <i/>
      <sz val="10"/>
      <color theme="0"/>
      <name val="微软雅黑"/>
      <charset val="134"/>
    </font>
    <font>
      <b/>
      <i/>
      <sz val="10"/>
      <color rgb="FFFF0000"/>
      <name val="微软雅黑"/>
      <charset val="134"/>
    </font>
    <font>
      <i/>
      <sz val="10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Times New Roman"/>
      <charset val="134"/>
    </font>
    <font>
      <sz val="11"/>
      <color indexed="8"/>
      <name val="宋体"/>
      <charset val="134"/>
    </font>
    <font>
      <sz val="11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E366A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9" applyNumberFormat="0" applyAlignment="0" applyProtection="0">
      <alignment vertical="center"/>
    </xf>
    <xf numFmtId="0" fontId="21" fillId="7" borderId="10" applyNumberFormat="0" applyAlignment="0" applyProtection="0">
      <alignment vertical="center"/>
    </xf>
    <xf numFmtId="0" fontId="22" fillId="7" borderId="9" applyNumberFormat="0" applyAlignment="0" applyProtection="0">
      <alignment vertical="center"/>
    </xf>
    <xf numFmtId="0" fontId="23" fillId="8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1" fillId="0" borderId="0"/>
    <xf numFmtId="0" fontId="32" fillId="0" borderId="0">
      <alignment vertical="center"/>
    </xf>
    <xf numFmtId="0" fontId="31" fillId="0" borderId="0"/>
    <xf numFmtId="0" fontId="33" fillId="0" borderId="0">
      <alignment vertical="center"/>
    </xf>
  </cellStyleXfs>
  <cellXfs count="4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1" fillId="3" borderId="3" xfId="0" applyFont="1" applyFill="1" applyBorder="1" applyAlignment="1">
      <alignment horizontal="center" vertical="center" wrapText="1"/>
    </xf>
    <xf numFmtId="6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1" xfId="51" applyFont="1" applyBorder="1" applyAlignment="1">
      <alignment horizontal="center" vertical="center" wrapText="1"/>
    </xf>
    <xf numFmtId="0" fontId="5" fillId="0" borderId="1" xfId="51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1" fillId="3" borderId="1" xfId="51" applyFont="1" applyFill="1" applyBorder="1" applyAlignment="1">
      <alignment horizontal="center" vertical="center" wrapText="1"/>
    </xf>
    <xf numFmtId="38" fontId="1" fillId="3" borderId="1" xfId="51" applyNumberFormat="1" applyFont="1" applyFill="1" applyBorder="1" applyAlignment="1">
      <alignment horizontal="center" vertical="center" wrapText="1"/>
    </xf>
    <xf numFmtId="0" fontId="6" fillId="4" borderId="1" xfId="51" applyFont="1" applyFill="1" applyBorder="1" applyAlignment="1">
      <alignment horizontal="center" vertical="center" wrapText="1"/>
    </xf>
    <xf numFmtId="176" fontId="6" fillId="4" borderId="1" xfId="51" applyNumberFormat="1" applyFont="1" applyFill="1" applyBorder="1" applyAlignment="1">
      <alignment horizontal="center" vertical="center" wrapText="1"/>
    </xf>
    <xf numFmtId="9" fontId="6" fillId="4" borderId="1" xfId="51" applyNumberFormat="1" applyFont="1" applyFill="1" applyBorder="1" applyAlignment="1">
      <alignment horizontal="center" vertical="center" wrapText="1"/>
    </xf>
    <xf numFmtId="0" fontId="6" fillId="4" borderId="1" xfId="51" applyFont="1" applyFill="1" applyBorder="1" applyAlignment="1">
      <alignment horizontal="left" vertical="center" wrapText="1"/>
    </xf>
    <xf numFmtId="0" fontId="7" fillId="3" borderId="2" xfId="51" applyFont="1" applyFill="1" applyBorder="1" applyAlignment="1">
      <alignment horizontal="center" vertical="center" wrapText="1"/>
    </xf>
    <xf numFmtId="0" fontId="7" fillId="3" borderId="4" xfId="51" applyFont="1" applyFill="1" applyBorder="1" applyAlignment="1">
      <alignment horizontal="center" vertical="center" wrapText="1"/>
    </xf>
    <xf numFmtId="0" fontId="7" fillId="3" borderId="3" xfId="51" applyFont="1" applyFill="1" applyBorder="1" applyAlignment="1">
      <alignment horizontal="center" vertical="center" wrapText="1"/>
    </xf>
    <xf numFmtId="176" fontId="7" fillId="3" borderId="1" xfId="51" applyNumberFormat="1" applyFont="1" applyFill="1" applyBorder="1" applyAlignment="1">
      <alignment horizontal="center" vertical="center" wrapText="1"/>
    </xf>
    <xf numFmtId="0" fontId="8" fillId="3" borderId="1" xfId="51" applyFont="1" applyFill="1" applyBorder="1" applyAlignment="1">
      <alignment horizontal="center" vertical="center" wrapText="1"/>
    </xf>
    <xf numFmtId="0" fontId="8" fillId="3" borderId="1" xfId="51" applyFont="1" applyFill="1" applyBorder="1" applyAlignment="1">
      <alignment horizontal="left" vertical="center" wrapText="1"/>
    </xf>
    <xf numFmtId="0" fontId="6" fillId="0" borderId="1" xfId="51" applyFont="1" applyBorder="1" applyAlignment="1">
      <alignment horizontal="center" vertical="center" wrapText="1"/>
    </xf>
    <xf numFmtId="40" fontId="6" fillId="0" borderId="1" xfId="51" applyNumberFormat="1" applyFont="1" applyBorder="1" applyAlignment="1">
      <alignment horizontal="center" vertical="center"/>
    </xf>
    <xf numFmtId="9" fontId="6" fillId="0" borderId="1" xfId="51" applyNumberFormat="1" applyFont="1" applyBorder="1" applyAlignment="1">
      <alignment horizontal="center" vertical="center" wrapText="1"/>
    </xf>
    <xf numFmtId="176" fontId="9" fillId="3" borderId="1" xfId="51" applyNumberFormat="1" applyFont="1" applyFill="1" applyBorder="1" applyAlignment="1">
      <alignment horizontal="center" vertical="center" wrapText="1"/>
    </xf>
    <xf numFmtId="9" fontId="8" fillId="3" borderId="1" xfId="51" applyNumberFormat="1" applyFont="1" applyFill="1" applyBorder="1" applyAlignment="1">
      <alignment horizontal="center" vertical="center" wrapText="1"/>
    </xf>
    <xf numFmtId="0" fontId="10" fillId="0" borderId="4" xfId="50" applyFont="1" applyBorder="1" applyAlignment="1">
      <alignment horizontal="right" vertical="center"/>
    </xf>
    <xf numFmtId="0" fontId="10" fillId="0" borderId="3" xfId="50" applyFont="1" applyBorder="1" applyAlignment="1">
      <alignment horizontal="right" vertical="center"/>
    </xf>
    <xf numFmtId="38" fontId="10" fillId="0" borderId="5" xfId="51" applyNumberFormat="1" applyFont="1" applyBorder="1" applyAlignment="1">
      <alignment horizontal="center" vertical="center"/>
    </xf>
    <xf numFmtId="0" fontId="11" fillId="0" borderId="5" xfId="49" applyFont="1" applyBorder="1" applyAlignment="1">
      <alignment horizontal="center" vertical="center" wrapText="1"/>
    </xf>
    <xf numFmtId="0" fontId="6" fillId="0" borderId="5" xfId="49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0,0_x000d__x000a_NA_x000d__x000a_" xfId="49"/>
    <cellStyle name="常规_4.3_软件部分报价单0301" xfId="50"/>
    <cellStyle name="常规_东莞IBSS建设方案20030110" xfId="51"/>
    <cellStyle name="常规_可研相关表格3" xf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1E366A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tabSelected="1" workbookViewId="0">
      <selection activeCell="H18" sqref="H18"/>
    </sheetView>
  </sheetViews>
  <sheetFormatPr defaultColWidth="9.24778761061947" defaultRowHeight="13.65" outlineLevelCol="7"/>
  <cols>
    <col min="1" max="1" width="5.12389380530973" style="17" customWidth="1"/>
    <col min="2" max="2" width="23.4778761061947" style="17" customWidth="1"/>
    <col min="3" max="4" width="4.30973451327434" style="17" customWidth="1"/>
    <col min="5" max="5" width="9.74336283185841" style="17" customWidth="1"/>
    <col min="6" max="6" width="11.3274336283186" style="17" customWidth="1"/>
    <col min="7" max="7" width="9.47787610619469" style="17" customWidth="1"/>
    <col min="8" max="8" width="36.8761061946903" style="17" customWidth="1"/>
    <col min="9" max="16384" width="9.24778761061947" style="17"/>
  </cols>
  <sheetData>
    <row r="1" ht="14.3" spans="1:8">
      <c r="A1" s="18" t="s">
        <v>0</v>
      </c>
      <c r="B1" s="19"/>
      <c r="C1" s="19"/>
      <c r="D1" s="19"/>
      <c r="E1" s="19"/>
      <c r="F1" s="19"/>
      <c r="G1" s="19"/>
      <c r="H1" s="19"/>
    </row>
    <row r="2" ht="14.3" spans="1:8">
      <c r="A2" s="20" t="s">
        <v>1</v>
      </c>
      <c r="B2" s="20"/>
      <c r="C2" s="20"/>
      <c r="D2" s="20"/>
      <c r="E2" s="20"/>
      <c r="F2" s="21"/>
      <c r="G2" s="21"/>
      <c r="H2" s="20"/>
    </row>
    <row r="3" ht="14.35" spans="1:8">
      <c r="A3" s="22" t="s">
        <v>2</v>
      </c>
      <c r="B3" s="22" t="s">
        <v>3</v>
      </c>
      <c r="C3" s="22" t="s">
        <v>4</v>
      </c>
      <c r="D3" s="22" t="s">
        <v>5</v>
      </c>
      <c r="E3" s="23" t="s">
        <v>6</v>
      </c>
      <c r="F3" s="22" t="s">
        <v>7</v>
      </c>
      <c r="G3" s="22" t="s">
        <v>8</v>
      </c>
      <c r="H3" s="22" t="s">
        <v>9</v>
      </c>
    </row>
    <row r="4" spans="1:8">
      <c r="A4" s="24" t="s">
        <v>10</v>
      </c>
      <c r="B4" s="24" t="s">
        <v>11</v>
      </c>
      <c r="C4" s="24">
        <v>1</v>
      </c>
      <c r="D4" s="24" t="s">
        <v>12</v>
      </c>
      <c r="E4" s="25">
        <v>510000</v>
      </c>
      <c r="F4" s="26">
        <v>0.7</v>
      </c>
      <c r="G4" s="24">
        <f>SUM(E4*F4)</f>
        <v>357000</v>
      </c>
      <c r="H4" s="27"/>
    </row>
    <row r="5" spans="1:8">
      <c r="A5" s="24" t="s">
        <v>13</v>
      </c>
      <c r="B5" s="24" t="s">
        <v>14</v>
      </c>
      <c r="C5" s="24">
        <v>1</v>
      </c>
      <c r="D5" s="24" t="s">
        <v>12</v>
      </c>
      <c r="E5" s="25">
        <v>15372</v>
      </c>
      <c r="F5" s="26">
        <v>1</v>
      </c>
      <c r="G5" s="24">
        <f>SUM(E5*F5)</f>
        <v>15372</v>
      </c>
      <c r="H5" s="27" t="s">
        <v>15</v>
      </c>
    </row>
    <row r="6" ht="14.3" spans="1:8">
      <c r="A6" s="28" t="s">
        <v>16</v>
      </c>
      <c r="B6" s="29"/>
      <c r="C6" s="29"/>
      <c r="D6" s="30"/>
      <c r="E6" s="31">
        <f>SUM(E4:E5)</f>
        <v>525372</v>
      </c>
      <c r="F6" s="32"/>
      <c r="G6" s="31">
        <f>SUM(G4:G5)</f>
        <v>372372</v>
      </c>
      <c r="H6" s="33"/>
    </row>
    <row r="7" spans="1:8">
      <c r="A7" s="24" t="s">
        <v>10</v>
      </c>
      <c r="B7" s="34" t="s">
        <v>17</v>
      </c>
      <c r="C7" s="34">
        <v>1</v>
      </c>
      <c r="D7" s="34" t="s">
        <v>12</v>
      </c>
      <c r="E7" s="35"/>
      <c r="F7" s="36">
        <v>0</v>
      </c>
      <c r="G7" s="34"/>
      <c r="H7" s="34"/>
    </row>
    <row r="8" ht="18" customHeight="1" spans="1:8">
      <c r="A8" s="28" t="s">
        <v>18</v>
      </c>
      <c r="B8" s="29"/>
      <c r="C8" s="29"/>
      <c r="D8" s="30"/>
      <c r="E8" s="37"/>
      <c r="F8" s="38"/>
      <c r="G8" s="32"/>
      <c r="H8" s="33" t="s">
        <v>19</v>
      </c>
    </row>
    <row r="9" ht="14.3" spans="1:8">
      <c r="A9" s="39" t="s">
        <v>20</v>
      </c>
      <c r="B9" s="39"/>
      <c r="C9" s="39"/>
      <c r="D9" s="40"/>
      <c r="E9" s="41">
        <f>E6+E8</f>
        <v>525372</v>
      </c>
      <c r="F9" s="42"/>
      <c r="G9" s="41">
        <f>G6+G8</f>
        <v>372372</v>
      </c>
      <c r="H9" s="43"/>
    </row>
    <row r="10" ht="14.3" spans="1:8">
      <c r="A10" s="39" t="s">
        <v>21</v>
      </c>
      <c r="B10" s="39"/>
      <c r="C10" s="39"/>
      <c r="D10" s="40"/>
      <c r="E10" s="41"/>
      <c r="F10" s="42"/>
      <c r="G10" s="41">
        <v>370000</v>
      </c>
      <c r="H10" s="43"/>
    </row>
    <row r="11" ht="79" customHeight="1" spans="1:8">
      <c r="A11" s="44" t="s">
        <v>9</v>
      </c>
      <c r="B11" s="45" t="s">
        <v>22</v>
      </c>
      <c r="C11" s="46"/>
      <c r="D11" s="46"/>
      <c r="E11" s="46"/>
      <c r="F11" s="47"/>
      <c r="G11" s="47"/>
      <c r="H11" s="48"/>
    </row>
  </sheetData>
  <mergeCells count="7">
    <mergeCell ref="A1:H1"/>
    <mergeCell ref="A2:H2"/>
    <mergeCell ref="A6:D6"/>
    <mergeCell ref="A8:D8"/>
    <mergeCell ref="A9:D9"/>
    <mergeCell ref="A10:D10"/>
    <mergeCell ref="B11:H1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2"/>
  <sheetViews>
    <sheetView zoomScale="80" zoomScaleNormal="80" workbookViewId="0">
      <pane ySplit="2" topLeftCell="A68" activePane="bottomLeft" state="frozen"/>
      <selection/>
      <selection pane="bottomLeft" activeCell="C76" sqref="C76:C87"/>
    </sheetView>
  </sheetViews>
  <sheetFormatPr defaultColWidth="9" defaultRowHeight="13.65"/>
  <cols>
    <col min="1" max="1" width="5.47787610619469" style="8" customWidth="1"/>
    <col min="2" max="2" width="9.3716814159292" style="8" customWidth="1"/>
    <col min="3" max="3" width="16.7433628318584" style="8" customWidth="1"/>
    <col min="4" max="4" width="18.0442477876106" style="8" customWidth="1"/>
    <col min="5" max="5" width="22.4159292035398" style="8" customWidth="1"/>
    <col min="6" max="6" width="71.2389380530973" style="9" customWidth="1"/>
    <col min="7" max="8" width="9.3716814159292" style="8" customWidth="1"/>
    <col min="9" max="9" width="7.54867256637168" style="8" customWidth="1"/>
    <col min="10" max="10" width="9.3716814159292" style="8" customWidth="1"/>
    <col min="11" max="16384" width="9" style="8"/>
  </cols>
  <sheetData>
    <row r="1" s="7" customFormat="1" ht="14.3" spans="1:10">
      <c r="A1" s="10" t="s">
        <v>23</v>
      </c>
      <c r="B1" s="11"/>
      <c r="C1" s="11"/>
      <c r="D1" s="11"/>
      <c r="E1" s="11"/>
      <c r="F1" s="11"/>
      <c r="G1" s="11"/>
      <c r="H1" s="11"/>
      <c r="I1" s="11"/>
      <c r="J1" s="14"/>
    </row>
    <row r="2" ht="14.35" spans="1:10">
      <c r="A2" s="12" t="s">
        <v>2</v>
      </c>
      <c r="B2" s="12" t="s">
        <v>24</v>
      </c>
      <c r="C2" s="12" t="s">
        <v>25</v>
      </c>
      <c r="D2" s="12" t="s">
        <v>26</v>
      </c>
      <c r="E2" s="12" t="s">
        <v>27</v>
      </c>
      <c r="F2" s="1" t="s">
        <v>28</v>
      </c>
      <c r="G2" s="12" t="s">
        <v>29</v>
      </c>
      <c r="H2" s="12" t="s">
        <v>30</v>
      </c>
      <c r="I2" s="12" t="s">
        <v>31</v>
      </c>
      <c r="J2" s="12" t="s">
        <v>32</v>
      </c>
    </row>
    <row r="3" spans="1:10">
      <c r="A3" s="3">
        <v>1</v>
      </c>
      <c r="B3" s="3" t="s">
        <v>33</v>
      </c>
      <c r="C3" s="3" t="s">
        <v>34</v>
      </c>
      <c r="D3" s="3" t="s">
        <v>35</v>
      </c>
      <c r="E3" s="3" t="s">
        <v>36</v>
      </c>
      <c r="F3" s="13" t="s">
        <v>37</v>
      </c>
      <c r="G3" s="3">
        <v>0.5</v>
      </c>
      <c r="H3" s="3">
        <v>40</v>
      </c>
      <c r="I3" s="3">
        <v>5</v>
      </c>
      <c r="J3" s="3">
        <v>5</v>
      </c>
    </row>
    <row r="4" ht="82" spans="1:10">
      <c r="A4" s="3">
        <v>2</v>
      </c>
      <c r="B4" s="3"/>
      <c r="C4" s="3" t="s">
        <v>34</v>
      </c>
      <c r="D4" s="3" t="s">
        <v>35</v>
      </c>
      <c r="E4" s="3" t="s">
        <v>38</v>
      </c>
      <c r="F4" s="13" t="s">
        <v>39</v>
      </c>
      <c r="G4" s="3">
        <v>0.5</v>
      </c>
      <c r="H4" s="3"/>
      <c r="I4" s="3"/>
      <c r="J4" s="3"/>
    </row>
    <row r="5" ht="27.35" spans="1:10">
      <c r="A5" s="3">
        <v>3</v>
      </c>
      <c r="B5" s="3"/>
      <c r="C5" s="3"/>
      <c r="D5" s="3"/>
      <c r="E5" s="3" t="s">
        <v>40</v>
      </c>
      <c r="F5" s="13" t="s">
        <v>41</v>
      </c>
      <c r="G5" s="3">
        <v>0.5</v>
      </c>
      <c r="H5" s="3"/>
      <c r="I5" s="3"/>
      <c r="J5" s="3"/>
    </row>
    <row r="6" ht="41" spans="1:10">
      <c r="A6" s="3">
        <v>4</v>
      </c>
      <c r="B6" s="3"/>
      <c r="C6" s="3"/>
      <c r="D6" s="3"/>
      <c r="E6" s="3" t="s">
        <v>42</v>
      </c>
      <c r="F6" s="13" t="s">
        <v>43</v>
      </c>
      <c r="G6" s="3">
        <v>0.5</v>
      </c>
      <c r="H6" s="3"/>
      <c r="I6" s="3"/>
      <c r="J6" s="3"/>
    </row>
    <row r="7" spans="1:10">
      <c r="A7" s="3">
        <v>5</v>
      </c>
      <c r="B7" s="3"/>
      <c r="C7" s="3"/>
      <c r="D7" s="3" t="s">
        <v>44</v>
      </c>
      <c r="E7" s="3" t="s">
        <v>36</v>
      </c>
      <c r="F7" s="13" t="s">
        <v>45</v>
      </c>
      <c r="G7" s="3">
        <v>0.5</v>
      </c>
      <c r="H7" s="3"/>
      <c r="I7" s="3"/>
      <c r="J7" s="3"/>
    </row>
    <row r="8" ht="68.35" spans="1:10">
      <c r="A8" s="3">
        <v>6</v>
      </c>
      <c r="B8" s="3"/>
      <c r="C8" s="3"/>
      <c r="D8" s="3"/>
      <c r="E8" s="3" t="s">
        <v>46</v>
      </c>
      <c r="F8" s="13" t="s">
        <v>47</v>
      </c>
      <c r="G8" s="3">
        <v>1</v>
      </c>
      <c r="H8" s="3"/>
      <c r="I8" s="3"/>
      <c r="J8" s="3"/>
    </row>
    <row r="9" ht="27.35" spans="1:10">
      <c r="A9" s="3">
        <v>7</v>
      </c>
      <c r="B9" s="3"/>
      <c r="C9" s="3"/>
      <c r="D9" s="3"/>
      <c r="E9" s="3" t="s">
        <v>48</v>
      </c>
      <c r="F9" s="13" t="s">
        <v>49</v>
      </c>
      <c r="G9" s="3">
        <v>1</v>
      </c>
      <c r="H9" s="3"/>
      <c r="I9" s="3"/>
      <c r="J9" s="3"/>
    </row>
    <row r="10" ht="41" spans="1:10">
      <c r="A10" s="3">
        <v>8</v>
      </c>
      <c r="B10" s="3"/>
      <c r="C10" s="3"/>
      <c r="D10" s="3"/>
      <c r="E10" s="3" t="s">
        <v>50</v>
      </c>
      <c r="F10" s="13" t="s">
        <v>51</v>
      </c>
      <c r="G10" s="3">
        <v>1</v>
      </c>
      <c r="H10" s="3"/>
      <c r="I10" s="3"/>
      <c r="J10" s="3"/>
    </row>
    <row r="11" spans="1:10">
      <c r="A11" s="3">
        <v>9</v>
      </c>
      <c r="B11" s="3"/>
      <c r="C11" s="3"/>
      <c r="D11" s="3" t="s">
        <v>52</v>
      </c>
      <c r="E11" s="3" t="s">
        <v>36</v>
      </c>
      <c r="F11" s="13" t="s">
        <v>53</v>
      </c>
      <c r="G11" s="3">
        <v>0.5</v>
      </c>
      <c r="H11" s="3"/>
      <c r="I11" s="3"/>
      <c r="J11" s="3"/>
    </row>
    <row r="12" ht="68.35" spans="1:10">
      <c r="A12" s="3">
        <v>10</v>
      </c>
      <c r="B12" s="3"/>
      <c r="C12" s="3"/>
      <c r="D12" s="3"/>
      <c r="E12" s="3" t="s">
        <v>54</v>
      </c>
      <c r="F12" s="13" t="s">
        <v>55</v>
      </c>
      <c r="G12" s="3">
        <v>1</v>
      </c>
      <c r="H12" s="3"/>
      <c r="I12" s="3"/>
      <c r="J12" s="3"/>
    </row>
    <row r="13" spans="1:10">
      <c r="A13" s="3">
        <v>11</v>
      </c>
      <c r="B13" s="3"/>
      <c r="C13" s="3"/>
      <c r="D13" s="3"/>
      <c r="E13" s="3" t="s">
        <v>56</v>
      </c>
      <c r="F13" s="13" t="s">
        <v>57</v>
      </c>
      <c r="G13" s="3">
        <v>0.5</v>
      </c>
      <c r="H13" s="3"/>
      <c r="I13" s="3"/>
      <c r="J13" s="3"/>
    </row>
    <row r="14" ht="41" spans="1:10">
      <c r="A14" s="3">
        <v>12</v>
      </c>
      <c r="B14" s="3"/>
      <c r="C14" s="3"/>
      <c r="D14" s="3"/>
      <c r="E14" s="3" t="s">
        <v>58</v>
      </c>
      <c r="F14" s="13" t="s">
        <v>59</v>
      </c>
      <c r="G14" s="3">
        <v>0.5</v>
      </c>
      <c r="H14" s="3"/>
      <c r="I14" s="3"/>
      <c r="J14" s="3"/>
    </row>
    <row r="15" ht="27.35" spans="1:10">
      <c r="A15" s="3">
        <v>13</v>
      </c>
      <c r="B15" s="3"/>
      <c r="C15" s="3"/>
      <c r="D15" s="3" t="s">
        <v>60</v>
      </c>
      <c r="E15" s="3" t="s">
        <v>36</v>
      </c>
      <c r="F15" s="13" t="s">
        <v>61</v>
      </c>
      <c r="G15" s="3">
        <v>0.5</v>
      </c>
      <c r="H15" s="3"/>
      <c r="I15" s="3"/>
      <c r="J15" s="3"/>
    </row>
    <row r="16" ht="41" spans="1:10">
      <c r="A16" s="3">
        <v>14</v>
      </c>
      <c r="B16" s="3"/>
      <c r="C16" s="3"/>
      <c r="D16" s="3"/>
      <c r="E16" s="3" t="s">
        <v>62</v>
      </c>
      <c r="F16" s="13" t="s">
        <v>63</v>
      </c>
      <c r="G16" s="3">
        <v>0.5</v>
      </c>
      <c r="H16" s="3"/>
      <c r="I16" s="3"/>
      <c r="J16" s="3"/>
    </row>
    <row r="17" ht="27.35" spans="1:10">
      <c r="A17" s="3">
        <v>15</v>
      </c>
      <c r="B17" s="3"/>
      <c r="C17" s="3" t="s">
        <v>64</v>
      </c>
      <c r="D17" s="3" t="s">
        <v>65</v>
      </c>
      <c r="E17" s="3" t="s">
        <v>66</v>
      </c>
      <c r="F17" s="13" t="s">
        <v>67</v>
      </c>
      <c r="G17" s="3">
        <v>1</v>
      </c>
      <c r="H17" s="3"/>
      <c r="I17" s="3"/>
      <c r="J17" s="3"/>
    </row>
    <row r="18" ht="27.35" spans="1:10">
      <c r="A18" s="3">
        <v>16</v>
      </c>
      <c r="B18" s="3"/>
      <c r="C18" s="3"/>
      <c r="D18" s="3"/>
      <c r="E18" s="3" t="s">
        <v>68</v>
      </c>
      <c r="F18" s="13" t="s">
        <v>69</v>
      </c>
      <c r="G18" s="3">
        <v>1</v>
      </c>
      <c r="H18" s="3"/>
      <c r="I18" s="3"/>
      <c r="J18" s="3"/>
    </row>
    <row r="19" spans="1:10">
      <c r="A19" s="3">
        <v>17</v>
      </c>
      <c r="B19" s="3"/>
      <c r="C19" s="3"/>
      <c r="D19" s="3"/>
      <c r="E19" s="3" t="s">
        <v>70</v>
      </c>
      <c r="F19" s="13" t="s">
        <v>71</v>
      </c>
      <c r="G19" s="3">
        <v>2</v>
      </c>
      <c r="H19" s="3"/>
      <c r="I19" s="3"/>
      <c r="J19" s="3"/>
    </row>
    <row r="20" spans="1:10">
      <c r="A20" s="3">
        <v>18</v>
      </c>
      <c r="B20" s="3"/>
      <c r="C20" s="3"/>
      <c r="D20" s="3"/>
      <c r="E20" s="3" t="s">
        <v>36</v>
      </c>
      <c r="F20" s="13" t="s">
        <v>72</v>
      </c>
      <c r="G20" s="3">
        <v>0.5</v>
      </c>
      <c r="H20" s="3"/>
      <c r="I20" s="3"/>
      <c r="J20" s="3"/>
    </row>
    <row r="21" ht="27.35" spans="1:10">
      <c r="A21" s="3">
        <v>19</v>
      </c>
      <c r="B21" s="3"/>
      <c r="C21" s="3"/>
      <c r="D21" s="3" t="s">
        <v>73</v>
      </c>
      <c r="E21" s="3" t="s">
        <v>74</v>
      </c>
      <c r="F21" s="13" t="s">
        <v>75</v>
      </c>
      <c r="G21" s="3">
        <v>2</v>
      </c>
      <c r="H21" s="3"/>
      <c r="I21" s="3"/>
      <c r="J21" s="3"/>
    </row>
    <row r="22" ht="27.35" spans="1:10">
      <c r="A22" s="3">
        <v>20</v>
      </c>
      <c r="B22" s="3"/>
      <c r="C22" s="3"/>
      <c r="D22" s="3"/>
      <c r="E22" s="3" t="s">
        <v>76</v>
      </c>
      <c r="F22" s="13" t="s">
        <v>77</v>
      </c>
      <c r="G22" s="3">
        <v>1</v>
      </c>
      <c r="H22" s="3"/>
      <c r="I22" s="3"/>
      <c r="J22" s="3"/>
    </row>
    <row r="23" spans="1:10">
      <c r="A23" s="3">
        <v>21</v>
      </c>
      <c r="B23" s="3"/>
      <c r="C23" s="3"/>
      <c r="D23" s="3"/>
      <c r="E23" s="3" t="s">
        <v>78</v>
      </c>
      <c r="F23" s="13" t="s">
        <v>79</v>
      </c>
      <c r="G23" s="3">
        <v>2</v>
      </c>
      <c r="H23" s="3"/>
      <c r="I23" s="3"/>
      <c r="J23" s="3"/>
    </row>
    <row r="24" spans="1:10">
      <c r="A24" s="3">
        <v>22</v>
      </c>
      <c r="B24" s="3"/>
      <c r="C24" s="3"/>
      <c r="D24" s="3"/>
      <c r="E24" s="3" t="s">
        <v>36</v>
      </c>
      <c r="F24" s="13" t="s">
        <v>72</v>
      </c>
      <c r="G24" s="3">
        <v>2</v>
      </c>
      <c r="H24" s="3"/>
      <c r="I24" s="3"/>
      <c r="J24" s="3"/>
    </row>
    <row r="25" ht="27.35" spans="1:10">
      <c r="A25" s="3">
        <v>23</v>
      </c>
      <c r="B25" s="3"/>
      <c r="C25" s="3"/>
      <c r="D25" s="3" t="s">
        <v>80</v>
      </c>
      <c r="E25" s="3" t="s">
        <v>81</v>
      </c>
      <c r="F25" s="13" t="s">
        <v>82</v>
      </c>
      <c r="G25" s="3">
        <v>2</v>
      </c>
      <c r="H25" s="3"/>
      <c r="I25" s="3"/>
      <c r="J25" s="3"/>
    </row>
    <row r="26" ht="27.35" spans="1:10">
      <c r="A26" s="3">
        <v>24</v>
      </c>
      <c r="B26" s="3"/>
      <c r="C26" s="3" t="s">
        <v>83</v>
      </c>
      <c r="D26" s="3" t="s">
        <v>84</v>
      </c>
      <c r="E26" s="3" t="s">
        <v>70</v>
      </c>
      <c r="F26" s="13" t="s">
        <v>85</v>
      </c>
      <c r="G26" s="3">
        <v>2</v>
      </c>
      <c r="H26" s="3"/>
      <c r="I26" s="3"/>
      <c r="J26" s="3"/>
    </row>
    <row r="27" ht="27.35" spans="1:10">
      <c r="A27" s="3">
        <v>25</v>
      </c>
      <c r="B27" s="3"/>
      <c r="C27" s="3"/>
      <c r="D27" s="3"/>
      <c r="E27" s="3" t="s">
        <v>86</v>
      </c>
      <c r="F27" s="13" t="s">
        <v>87</v>
      </c>
      <c r="G27" s="3">
        <v>3.5</v>
      </c>
      <c r="H27" s="3"/>
      <c r="I27" s="3"/>
      <c r="J27" s="3"/>
    </row>
    <row r="28" ht="27.35" spans="1:10">
      <c r="A28" s="3">
        <v>26</v>
      </c>
      <c r="B28" s="3"/>
      <c r="C28" s="3"/>
      <c r="D28" s="3" t="s">
        <v>88</v>
      </c>
      <c r="E28" s="3" t="s">
        <v>86</v>
      </c>
      <c r="F28" s="13" t="s">
        <v>87</v>
      </c>
      <c r="G28" s="3">
        <v>3.5</v>
      </c>
      <c r="H28" s="3"/>
      <c r="I28" s="3"/>
      <c r="J28" s="3"/>
    </row>
    <row r="29" spans="1:10">
      <c r="A29" s="3">
        <v>27</v>
      </c>
      <c r="B29" s="3"/>
      <c r="C29" s="3"/>
      <c r="D29" s="3" t="s">
        <v>89</v>
      </c>
      <c r="E29" s="3" t="s">
        <v>89</v>
      </c>
      <c r="F29" s="13" t="s">
        <v>90</v>
      </c>
      <c r="G29" s="3">
        <v>2</v>
      </c>
      <c r="H29" s="3"/>
      <c r="I29" s="3"/>
      <c r="J29" s="3"/>
    </row>
    <row r="30" spans="1:10">
      <c r="A30" s="3">
        <v>28</v>
      </c>
      <c r="B30" s="3"/>
      <c r="C30" s="3"/>
      <c r="D30" s="3" t="s">
        <v>91</v>
      </c>
      <c r="E30" s="3" t="s">
        <v>92</v>
      </c>
      <c r="F30" s="13" t="s">
        <v>93</v>
      </c>
      <c r="G30" s="3">
        <v>2</v>
      </c>
      <c r="H30" s="3"/>
      <c r="I30" s="3"/>
      <c r="J30" s="3"/>
    </row>
    <row r="31" spans="1:10">
      <c r="A31" s="3">
        <v>29</v>
      </c>
      <c r="B31" s="3"/>
      <c r="C31" s="3"/>
      <c r="D31" s="3"/>
      <c r="E31" s="3" t="s">
        <v>94</v>
      </c>
      <c r="F31" s="13" t="s">
        <v>95</v>
      </c>
      <c r="G31" s="3">
        <v>2</v>
      </c>
      <c r="H31" s="3"/>
      <c r="I31" s="3"/>
      <c r="J31" s="3"/>
    </row>
    <row r="32" spans="1:10">
      <c r="A32" s="3">
        <v>30</v>
      </c>
      <c r="B32" s="3"/>
      <c r="C32" s="3" t="s">
        <v>96</v>
      </c>
      <c r="D32" s="3" t="s">
        <v>97</v>
      </c>
      <c r="E32" s="3" t="s">
        <v>98</v>
      </c>
      <c r="F32" s="13" t="s">
        <v>99</v>
      </c>
      <c r="G32" s="3">
        <v>0.5</v>
      </c>
      <c r="H32" s="3"/>
      <c r="I32" s="3"/>
      <c r="J32" s="3"/>
    </row>
    <row r="33" ht="41" spans="1:10">
      <c r="A33" s="3">
        <v>31</v>
      </c>
      <c r="B33" s="3"/>
      <c r="C33" s="3"/>
      <c r="D33" s="3"/>
      <c r="E33" s="3" t="s">
        <v>100</v>
      </c>
      <c r="F33" s="13" t="s">
        <v>101</v>
      </c>
      <c r="G33" s="3">
        <v>3</v>
      </c>
      <c r="H33" s="3"/>
      <c r="I33" s="3"/>
      <c r="J33" s="3"/>
    </row>
    <row r="34" ht="27.35" spans="1:10">
      <c r="A34" s="3">
        <v>32</v>
      </c>
      <c r="B34" s="3"/>
      <c r="C34" s="3"/>
      <c r="D34" s="3"/>
      <c r="E34" s="3" t="s">
        <v>102</v>
      </c>
      <c r="F34" s="13" t="s">
        <v>103</v>
      </c>
      <c r="G34" s="3">
        <v>2</v>
      </c>
      <c r="H34" s="3"/>
      <c r="I34" s="3"/>
      <c r="J34" s="3"/>
    </row>
    <row r="35" ht="27.35" spans="1:10">
      <c r="A35" s="3">
        <v>33</v>
      </c>
      <c r="B35" s="3"/>
      <c r="C35" s="3"/>
      <c r="D35" s="3" t="s">
        <v>104</v>
      </c>
      <c r="E35" s="3" t="s">
        <v>98</v>
      </c>
      <c r="F35" s="13" t="s">
        <v>105</v>
      </c>
      <c r="G35" s="3">
        <v>2</v>
      </c>
      <c r="H35" s="3"/>
      <c r="I35" s="3"/>
      <c r="J35" s="3"/>
    </row>
    <row r="36" spans="1:10">
      <c r="A36" s="3">
        <v>34</v>
      </c>
      <c r="B36" s="3"/>
      <c r="C36" s="3"/>
      <c r="D36" s="3"/>
      <c r="E36" s="3" t="s">
        <v>106</v>
      </c>
      <c r="F36" s="13" t="s">
        <v>107</v>
      </c>
      <c r="G36" s="3">
        <v>2</v>
      </c>
      <c r="H36" s="3"/>
      <c r="I36" s="3"/>
      <c r="J36" s="3"/>
    </row>
    <row r="37" spans="1:10">
      <c r="A37" s="3">
        <v>35</v>
      </c>
      <c r="B37" s="3"/>
      <c r="C37" s="3"/>
      <c r="D37" s="3" t="s">
        <v>108</v>
      </c>
      <c r="E37" s="3" t="s">
        <v>98</v>
      </c>
      <c r="F37" s="13" t="s">
        <v>99</v>
      </c>
      <c r="G37" s="3">
        <v>1</v>
      </c>
      <c r="H37" s="3"/>
      <c r="I37" s="3"/>
      <c r="J37" s="3"/>
    </row>
    <row r="38" ht="41" spans="1:10">
      <c r="A38" s="3">
        <v>36</v>
      </c>
      <c r="B38" s="3"/>
      <c r="C38" s="3"/>
      <c r="D38" s="3"/>
      <c r="E38" s="3" t="s">
        <v>100</v>
      </c>
      <c r="F38" s="13" t="s">
        <v>109</v>
      </c>
      <c r="G38" s="3">
        <v>1</v>
      </c>
      <c r="H38" s="3"/>
      <c r="I38" s="3"/>
      <c r="J38" s="3"/>
    </row>
    <row r="39" ht="27.35" spans="1:10">
      <c r="A39" s="3">
        <v>37</v>
      </c>
      <c r="B39" s="3"/>
      <c r="C39" s="3"/>
      <c r="D39" s="3"/>
      <c r="E39" s="3" t="s">
        <v>102</v>
      </c>
      <c r="F39" s="13" t="s">
        <v>110</v>
      </c>
      <c r="G39" s="3">
        <v>1</v>
      </c>
      <c r="H39" s="3"/>
      <c r="I39" s="3"/>
      <c r="J39" s="3"/>
    </row>
    <row r="40" spans="1:10">
      <c r="A40" s="3">
        <v>38</v>
      </c>
      <c r="B40" s="3"/>
      <c r="C40" s="3"/>
      <c r="D40" s="3"/>
      <c r="E40" s="3" t="s">
        <v>111</v>
      </c>
      <c r="F40" s="13" t="s">
        <v>107</v>
      </c>
      <c r="G40" s="3">
        <v>1</v>
      </c>
      <c r="H40" s="3"/>
      <c r="I40" s="3"/>
      <c r="J40" s="3"/>
    </row>
    <row r="41" ht="27.35" spans="1:10">
      <c r="A41" s="3">
        <v>39</v>
      </c>
      <c r="B41" s="3"/>
      <c r="C41" s="3" t="s">
        <v>112</v>
      </c>
      <c r="D41" s="3" t="s">
        <v>113</v>
      </c>
      <c r="E41" s="3" t="s">
        <v>114</v>
      </c>
      <c r="F41" s="13" t="s">
        <v>115</v>
      </c>
      <c r="G41" s="3">
        <v>3</v>
      </c>
      <c r="H41" s="3"/>
      <c r="I41" s="3"/>
      <c r="J41" s="3"/>
    </row>
    <row r="42" ht="27.35" spans="1:10">
      <c r="A42" s="3">
        <v>40</v>
      </c>
      <c r="B42" s="3"/>
      <c r="C42" s="3"/>
      <c r="D42" s="3" t="s">
        <v>116</v>
      </c>
      <c r="E42" s="3" t="s">
        <v>114</v>
      </c>
      <c r="F42" s="13" t="s">
        <v>117</v>
      </c>
      <c r="G42" s="3">
        <v>3</v>
      </c>
      <c r="H42" s="3"/>
      <c r="I42" s="3"/>
      <c r="J42" s="3"/>
    </row>
    <row r="43" spans="1:10">
      <c r="A43" s="3">
        <v>41</v>
      </c>
      <c r="B43" s="3"/>
      <c r="C43" s="3" t="s">
        <v>118</v>
      </c>
      <c r="D43" s="3" t="s">
        <v>119</v>
      </c>
      <c r="E43" s="3" t="s">
        <v>119</v>
      </c>
      <c r="F43" s="13" t="s">
        <v>120</v>
      </c>
      <c r="G43" s="3">
        <v>1</v>
      </c>
      <c r="H43" s="3"/>
      <c r="I43" s="3"/>
      <c r="J43" s="3"/>
    </row>
    <row r="44" spans="1:10">
      <c r="A44" s="3">
        <v>42</v>
      </c>
      <c r="B44" s="3"/>
      <c r="C44" s="3"/>
      <c r="D44" s="3" t="s">
        <v>89</v>
      </c>
      <c r="E44" s="3" t="s">
        <v>89</v>
      </c>
      <c r="F44" s="13" t="s">
        <v>121</v>
      </c>
      <c r="G44" s="3">
        <v>1</v>
      </c>
      <c r="H44" s="3"/>
      <c r="I44" s="3"/>
      <c r="J44" s="3"/>
    </row>
    <row r="45" spans="1:10">
      <c r="A45" s="3">
        <v>43</v>
      </c>
      <c r="B45" s="3"/>
      <c r="C45" s="3"/>
      <c r="D45" s="3" t="s">
        <v>122</v>
      </c>
      <c r="E45" s="3" t="s">
        <v>122</v>
      </c>
      <c r="F45" s="13" t="s">
        <v>123</v>
      </c>
      <c r="G45" s="3">
        <v>1</v>
      </c>
      <c r="H45" s="3"/>
      <c r="I45" s="3"/>
      <c r="J45" s="3"/>
    </row>
    <row r="46" ht="41" spans="1:10">
      <c r="A46" s="3">
        <v>44</v>
      </c>
      <c r="B46" s="3"/>
      <c r="C46" s="3" t="s">
        <v>124</v>
      </c>
      <c r="D46" s="3" t="s">
        <v>125</v>
      </c>
      <c r="E46" s="3" t="s">
        <v>126</v>
      </c>
      <c r="F46" s="13" t="s">
        <v>127</v>
      </c>
      <c r="G46" s="3">
        <v>1</v>
      </c>
      <c r="H46" s="3"/>
      <c r="I46" s="3"/>
      <c r="J46" s="3"/>
    </row>
    <row r="47" spans="1:10">
      <c r="A47" s="3">
        <v>45</v>
      </c>
      <c r="B47" s="3"/>
      <c r="C47" s="3"/>
      <c r="D47" s="3" t="s">
        <v>128</v>
      </c>
      <c r="E47" s="3" t="s">
        <v>129</v>
      </c>
      <c r="F47" s="13" t="s">
        <v>130</v>
      </c>
      <c r="G47" s="3">
        <v>1</v>
      </c>
      <c r="H47" s="3"/>
      <c r="I47" s="3"/>
      <c r="J47" s="3"/>
    </row>
    <row r="48" ht="27.35" spans="1:10">
      <c r="A48" s="3">
        <v>46</v>
      </c>
      <c r="B48" s="3"/>
      <c r="C48" s="3"/>
      <c r="D48" s="3" t="s">
        <v>131</v>
      </c>
      <c r="E48" s="3" t="s">
        <v>132</v>
      </c>
      <c r="F48" s="13" t="s">
        <v>133</v>
      </c>
      <c r="G48" s="3">
        <v>1</v>
      </c>
      <c r="H48" s="3"/>
      <c r="I48" s="3"/>
      <c r="J48" s="3"/>
    </row>
    <row r="49" spans="1:10">
      <c r="A49" s="3">
        <v>47</v>
      </c>
      <c r="B49" s="3"/>
      <c r="C49" s="3"/>
      <c r="D49" s="3"/>
      <c r="E49" s="3" t="s">
        <v>134</v>
      </c>
      <c r="F49" s="13" t="s">
        <v>135</v>
      </c>
      <c r="G49" s="3">
        <v>1</v>
      </c>
      <c r="H49" s="3"/>
      <c r="I49" s="3"/>
      <c r="J49" s="3"/>
    </row>
    <row r="50" spans="1:10">
      <c r="A50" s="3">
        <v>48</v>
      </c>
      <c r="B50" s="3"/>
      <c r="C50" s="3" t="s">
        <v>136</v>
      </c>
      <c r="D50" s="3" t="s">
        <v>137</v>
      </c>
      <c r="E50" s="3" t="s">
        <v>137</v>
      </c>
      <c r="F50" s="13" t="s">
        <v>138</v>
      </c>
      <c r="G50" s="3">
        <v>1</v>
      </c>
      <c r="H50" s="3"/>
      <c r="I50" s="3"/>
      <c r="J50" s="3"/>
    </row>
    <row r="51" spans="1:10">
      <c r="A51" s="3">
        <v>49</v>
      </c>
      <c r="B51" s="3"/>
      <c r="C51" s="3"/>
      <c r="D51" s="3"/>
      <c r="E51" s="3" t="s">
        <v>139</v>
      </c>
      <c r="F51" s="13" t="s">
        <v>140</v>
      </c>
      <c r="G51" s="3">
        <v>1</v>
      </c>
      <c r="H51" s="3"/>
      <c r="I51" s="3"/>
      <c r="J51" s="3"/>
    </row>
    <row r="52" spans="1:10">
      <c r="A52" s="3">
        <v>50</v>
      </c>
      <c r="B52" s="3"/>
      <c r="C52" s="3"/>
      <c r="D52" s="3"/>
      <c r="E52" s="3" t="s">
        <v>141</v>
      </c>
      <c r="F52" s="13" t="s">
        <v>142</v>
      </c>
      <c r="G52" s="3">
        <v>1</v>
      </c>
      <c r="H52" s="3"/>
      <c r="I52" s="3"/>
      <c r="J52" s="3"/>
    </row>
    <row r="53" spans="1:10">
      <c r="A53" s="3">
        <v>51</v>
      </c>
      <c r="B53" s="3" t="s">
        <v>143</v>
      </c>
      <c r="C53" s="3" t="s">
        <v>34</v>
      </c>
      <c r="D53" s="3" t="s">
        <v>35</v>
      </c>
      <c r="E53" s="3" t="s">
        <v>36</v>
      </c>
      <c r="F53" s="13" t="s">
        <v>37</v>
      </c>
      <c r="G53" s="3">
        <v>1</v>
      </c>
      <c r="H53" s="3">
        <v>25</v>
      </c>
      <c r="I53" s="3"/>
      <c r="J53" s="3"/>
    </row>
    <row r="54" ht="82" spans="1:10">
      <c r="A54" s="3">
        <v>52</v>
      </c>
      <c r="B54" s="3"/>
      <c r="C54" s="3"/>
      <c r="D54" s="3"/>
      <c r="E54" s="3" t="s">
        <v>38</v>
      </c>
      <c r="F54" s="13" t="s">
        <v>39</v>
      </c>
      <c r="G54" s="3">
        <v>1</v>
      </c>
      <c r="H54" s="3"/>
      <c r="I54" s="3"/>
      <c r="J54" s="3"/>
    </row>
    <row r="55" spans="1:10">
      <c r="A55" s="3">
        <v>53</v>
      </c>
      <c r="B55" s="3"/>
      <c r="C55" s="3"/>
      <c r="D55" s="3"/>
      <c r="E55" s="3" t="s">
        <v>144</v>
      </c>
      <c r="F55" s="13" t="s">
        <v>145</v>
      </c>
      <c r="G55" s="3">
        <v>1</v>
      </c>
      <c r="H55" s="3"/>
      <c r="I55" s="3"/>
      <c r="J55" s="3"/>
    </row>
    <row r="56" ht="27.35" spans="1:10">
      <c r="A56" s="3">
        <v>54</v>
      </c>
      <c r="B56" s="3"/>
      <c r="C56" s="3"/>
      <c r="D56" s="3"/>
      <c r="E56" s="3" t="s">
        <v>40</v>
      </c>
      <c r="F56" s="13" t="s">
        <v>146</v>
      </c>
      <c r="G56" s="3">
        <v>1</v>
      </c>
      <c r="H56" s="3"/>
      <c r="I56" s="3"/>
      <c r="J56" s="3"/>
    </row>
    <row r="57" ht="27.35" spans="1:10">
      <c r="A57" s="3">
        <v>55</v>
      </c>
      <c r="B57" s="3"/>
      <c r="C57" s="3"/>
      <c r="D57" s="3"/>
      <c r="E57" s="3" t="s">
        <v>147</v>
      </c>
      <c r="F57" s="13" t="s">
        <v>148</v>
      </c>
      <c r="G57" s="3">
        <v>1</v>
      </c>
      <c r="H57" s="3"/>
      <c r="I57" s="3"/>
      <c r="J57" s="3"/>
    </row>
    <row r="58" spans="1:10">
      <c r="A58" s="3">
        <v>56</v>
      </c>
      <c r="B58" s="3"/>
      <c r="C58" s="3"/>
      <c r="D58" s="3"/>
      <c r="E58" s="3" t="s">
        <v>149</v>
      </c>
      <c r="F58" s="13" t="s">
        <v>150</v>
      </c>
      <c r="G58" s="3">
        <v>1</v>
      </c>
      <c r="H58" s="3"/>
      <c r="I58" s="3"/>
      <c r="J58" s="3"/>
    </row>
    <row r="59" spans="1:10">
      <c r="A59" s="3">
        <v>57</v>
      </c>
      <c r="B59" s="3"/>
      <c r="C59" s="3"/>
      <c r="D59" s="3" t="s">
        <v>44</v>
      </c>
      <c r="E59" s="3" t="s">
        <v>36</v>
      </c>
      <c r="F59" s="13" t="s">
        <v>45</v>
      </c>
      <c r="G59" s="3">
        <v>1</v>
      </c>
      <c r="H59" s="3"/>
      <c r="I59" s="3"/>
      <c r="J59" s="3"/>
    </row>
    <row r="60" ht="68.35" spans="1:10">
      <c r="A60" s="3">
        <v>58</v>
      </c>
      <c r="B60" s="3"/>
      <c r="C60" s="3"/>
      <c r="D60" s="3"/>
      <c r="E60" s="3" t="s">
        <v>46</v>
      </c>
      <c r="F60" s="13" t="s">
        <v>47</v>
      </c>
      <c r="G60" s="3">
        <v>2</v>
      </c>
      <c r="H60" s="3"/>
      <c r="I60" s="3"/>
      <c r="J60" s="3"/>
    </row>
    <row r="61" spans="1:10">
      <c r="A61" s="3">
        <v>59</v>
      </c>
      <c r="B61" s="3"/>
      <c r="C61" s="3"/>
      <c r="D61" s="3"/>
      <c r="E61" s="3" t="s">
        <v>144</v>
      </c>
      <c r="F61" s="13" t="s">
        <v>151</v>
      </c>
      <c r="G61" s="3">
        <v>1</v>
      </c>
      <c r="H61" s="3"/>
      <c r="I61" s="3"/>
      <c r="J61" s="3"/>
    </row>
    <row r="62" ht="27.35" spans="1:10">
      <c r="A62" s="3">
        <v>60</v>
      </c>
      <c r="B62" s="3"/>
      <c r="C62" s="3"/>
      <c r="D62" s="3"/>
      <c r="E62" s="3" t="s">
        <v>48</v>
      </c>
      <c r="F62" s="13" t="s">
        <v>49</v>
      </c>
      <c r="G62" s="3">
        <v>1</v>
      </c>
      <c r="H62" s="3"/>
      <c r="I62" s="3"/>
      <c r="J62" s="3"/>
    </row>
    <row r="63" ht="27.35" spans="1:10">
      <c r="A63" s="3">
        <v>61</v>
      </c>
      <c r="B63" s="3"/>
      <c r="C63" s="3"/>
      <c r="D63" s="3"/>
      <c r="E63" s="3" t="s">
        <v>152</v>
      </c>
      <c r="F63" s="13" t="s">
        <v>153</v>
      </c>
      <c r="G63" s="3">
        <v>1</v>
      </c>
      <c r="H63" s="3"/>
      <c r="I63" s="3"/>
      <c r="J63" s="3"/>
    </row>
    <row r="64" spans="1:10">
      <c r="A64" s="3">
        <v>62</v>
      </c>
      <c r="B64" s="3"/>
      <c r="C64" s="3"/>
      <c r="D64" s="3"/>
      <c r="E64" s="3" t="s">
        <v>149</v>
      </c>
      <c r="F64" s="13" t="s">
        <v>150</v>
      </c>
      <c r="G64" s="3">
        <v>0.5</v>
      </c>
      <c r="H64" s="3"/>
      <c r="I64" s="3"/>
      <c r="J64" s="3"/>
    </row>
    <row r="65" spans="1:10">
      <c r="A65" s="3">
        <v>63</v>
      </c>
      <c r="B65" s="3"/>
      <c r="C65" s="3"/>
      <c r="D65" s="3" t="s">
        <v>52</v>
      </c>
      <c r="E65" s="3" t="s">
        <v>36</v>
      </c>
      <c r="F65" s="13" t="s">
        <v>53</v>
      </c>
      <c r="G65" s="3">
        <v>1</v>
      </c>
      <c r="H65" s="3"/>
      <c r="I65" s="3"/>
      <c r="J65" s="3"/>
    </row>
    <row r="66" ht="68.35" spans="1:10">
      <c r="A66" s="3">
        <v>64</v>
      </c>
      <c r="B66" s="3"/>
      <c r="C66" s="3"/>
      <c r="D66" s="3"/>
      <c r="E66" s="3" t="s">
        <v>54</v>
      </c>
      <c r="F66" s="13" t="s">
        <v>55</v>
      </c>
      <c r="G66" s="3">
        <v>2</v>
      </c>
      <c r="H66" s="3"/>
      <c r="I66" s="3"/>
      <c r="J66" s="3"/>
    </row>
    <row r="67" spans="1:10">
      <c r="A67" s="3">
        <v>65</v>
      </c>
      <c r="B67" s="3"/>
      <c r="C67" s="3"/>
      <c r="D67" s="3"/>
      <c r="E67" s="3" t="s">
        <v>144</v>
      </c>
      <c r="F67" s="13" t="s">
        <v>154</v>
      </c>
      <c r="G67" s="3">
        <v>1</v>
      </c>
      <c r="H67" s="3"/>
      <c r="I67" s="3"/>
      <c r="J67" s="3"/>
    </row>
    <row r="68" spans="1:10">
      <c r="A68" s="3">
        <v>66</v>
      </c>
      <c r="B68" s="3"/>
      <c r="C68" s="3"/>
      <c r="D68" s="3"/>
      <c r="E68" s="3" t="s">
        <v>56</v>
      </c>
      <c r="F68" s="13" t="s">
        <v>57</v>
      </c>
      <c r="G68" s="3">
        <v>1</v>
      </c>
      <c r="H68" s="3"/>
      <c r="I68" s="3"/>
      <c r="J68" s="3"/>
    </row>
    <row r="69" ht="27.35" spans="1:10">
      <c r="A69" s="3">
        <v>67</v>
      </c>
      <c r="B69" s="3"/>
      <c r="C69" s="3"/>
      <c r="D69" s="3"/>
      <c r="E69" s="3" t="s">
        <v>155</v>
      </c>
      <c r="F69" s="13" t="s">
        <v>156</v>
      </c>
      <c r="G69" s="3">
        <v>1</v>
      </c>
      <c r="H69" s="3"/>
      <c r="I69" s="3"/>
      <c r="J69" s="3"/>
    </row>
    <row r="70" spans="1:10">
      <c r="A70" s="3">
        <v>68</v>
      </c>
      <c r="B70" s="3"/>
      <c r="C70" s="3"/>
      <c r="D70" s="3"/>
      <c r="E70" s="3" t="s">
        <v>149</v>
      </c>
      <c r="F70" s="13" t="s">
        <v>150</v>
      </c>
      <c r="G70" s="3">
        <v>1</v>
      </c>
      <c r="H70" s="3"/>
      <c r="I70" s="3"/>
      <c r="J70" s="3"/>
    </row>
    <row r="71" ht="27.35" spans="1:10">
      <c r="A71" s="3">
        <v>69</v>
      </c>
      <c r="B71" s="3"/>
      <c r="C71" s="3"/>
      <c r="D71" s="3" t="s">
        <v>60</v>
      </c>
      <c r="E71" s="3" t="s">
        <v>36</v>
      </c>
      <c r="F71" s="13" t="s">
        <v>61</v>
      </c>
      <c r="G71" s="3">
        <v>1</v>
      </c>
      <c r="H71" s="3"/>
      <c r="I71" s="3"/>
      <c r="J71" s="3"/>
    </row>
    <row r="72" ht="41" spans="1:10">
      <c r="A72" s="3">
        <v>70</v>
      </c>
      <c r="B72" s="3"/>
      <c r="C72" s="3"/>
      <c r="D72" s="3"/>
      <c r="E72" s="3" t="s">
        <v>62</v>
      </c>
      <c r="F72" s="13" t="s">
        <v>63</v>
      </c>
      <c r="G72" s="3">
        <v>2</v>
      </c>
      <c r="H72" s="3"/>
      <c r="I72" s="3"/>
      <c r="J72" s="3"/>
    </row>
    <row r="73" spans="1:10">
      <c r="A73" s="3">
        <v>71</v>
      </c>
      <c r="B73" s="3"/>
      <c r="C73" s="3"/>
      <c r="D73" s="3"/>
      <c r="E73" s="3" t="s">
        <v>157</v>
      </c>
      <c r="F73" s="13" t="s">
        <v>158</v>
      </c>
      <c r="G73" s="3">
        <v>1</v>
      </c>
      <c r="H73" s="3"/>
      <c r="I73" s="3"/>
      <c r="J73" s="3"/>
    </row>
    <row r="74" spans="1:10">
      <c r="A74" s="3">
        <v>72</v>
      </c>
      <c r="B74" s="3"/>
      <c r="C74" s="3"/>
      <c r="D74" s="3"/>
      <c r="E74" s="3" t="s">
        <v>144</v>
      </c>
      <c r="F74" s="13" t="s">
        <v>154</v>
      </c>
      <c r="G74" s="3">
        <v>1</v>
      </c>
      <c r="H74" s="3"/>
      <c r="I74" s="3"/>
      <c r="J74" s="3"/>
    </row>
    <row r="75" spans="1:10">
      <c r="A75" s="3">
        <v>73</v>
      </c>
      <c r="B75" s="3"/>
      <c r="C75" s="3"/>
      <c r="D75" s="3"/>
      <c r="E75" s="3" t="s">
        <v>149</v>
      </c>
      <c r="F75" s="13" t="s">
        <v>150</v>
      </c>
      <c r="G75" s="3">
        <v>1</v>
      </c>
      <c r="H75" s="3"/>
      <c r="I75" s="3"/>
      <c r="J75" s="3"/>
    </row>
    <row r="76" ht="27.35" spans="1:10">
      <c r="A76" s="3">
        <v>74</v>
      </c>
      <c r="B76" s="3"/>
      <c r="C76" s="3" t="s">
        <v>159</v>
      </c>
      <c r="D76" s="3" t="s">
        <v>64</v>
      </c>
      <c r="E76" s="3" t="s">
        <v>80</v>
      </c>
      <c r="F76" s="13" t="s">
        <v>82</v>
      </c>
      <c r="G76" s="3">
        <v>1</v>
      </c>
      <c r="H76" s="3"/>
      <c r="I76" s="3"/>
      <c r="J76" s="3"/>
    </row>
    <row r="77" spans="1:10">
      <c r="A77" s="3">
        <v>75</v>
      </c>
      <c r="B77" s="3"/>
      <c r="C77" s="3"/>
      <c r="D77" s="3"/>
      <c r="E77" s="3" t="s">
        <v>160</v>
      </c>
      <c r="F77" s="13" t="s">
        <v>71</v>
      </c>
      <c r="G77" s="3">
        <v>1</v>
      </c>
      <c r="H77" s="3"/>
      <c r="I77" s="3"/>
      <c r="J77" s="3"/>
    </row>
    <row r="78" spans="1:10">
      <c r="A78" s="3">
        <v>76</v>
      </c>
      <c r="B78" s="3"/>
      <c r="C78" s="3"/>
      <c r="D78" s="3"/>
      <c r="E78" s="3" t="s">
        <v>161</v>
      </c>
      <c r="F78" s="13" t="s">
        <v>162</v>
      </c>
      <c r="G78" s="3">
        <v>1</v>
      </c>
      <c r="H78" s="3"/>
      <c r="I78" s="3"/>
      <c r="J78" s="3"/>
    </row>
    <row r="79" spans="1:10">
      <c r="A79" s="3">
        <v>77</v>
      </c>
      <c r="B79" s="3"/>
      <c r="C79" s="3"/>
      <c r="D79" s="3"/>
      <c r="E79" s="3" t="s">
        <v>36</v>
      </c>
      <c r="F79" s="13" t="s">
        <v>71</v>
      </c>
      <c r="G79" s="3">
        <v>1</v>
      </c>
      <c r="H79" s="3"/>
      <c r="I79" s="3"/>
      <c r="J79" s="3"/>
    </row>
    <row r="80" spans="1:10">
      <c r="A80" s="3">
        <v>78</v>
      </c>
      <c r="B80" s="3"/>
      <c r="C80" s="3"/>
      <c r="D80" s="3" t="s">
        <v>163</v>
      </c>
      <c r="E80" s="3" t="s">
        <v>164</v>
      </c>
      <c r="F80" s="13" t="s">
        <v>79</v>
      </c>
      <c r="G80" s="3">
        <v>1</v>
      </c>
      <c r="H80" s="3"/>
      <c r="I80" s="3"/>
      <c r="J80" s="3"/>
    </row>
    <row r="81" spans="1:10">
      <c r="A81" s="3">
        <v>79</v>
      </c>
      <c r="B81" s="3"/>
      <c r="C81" s="3"/>
      <c r="D81" s="3"/>
      <c r="E81" s="3" t="s">
        <v>165</v>
      </c>
      <c r="F81" s="13" t="s">
        <v>166</v>
      </c>
      <c r="G81" s="3">
        <v>1</v>
      </c>
      <c r="H81" s="3"/>
      <c r="I81" s="3"/>
      <c r="J81" s="3"/>
    </row>
    <row r="82" spans="1:10">
      <c r="A82" s="3">
        <v>80</v>
      </c>
      <c r="B82" s="3"/>
      <c r="C82" s="3"/>
      <c r="D82" s="3"/>
      <c r="E82" s="3" t="s">
        <v>36</v>
      </c>
      <c r="F82" s="13" t="s">
        <v>167</v>
      </c>
      <c r="G82" s="3">
        <v>1</v>
      </c>
      <c r="H82" s="3"/>
      <c r="I82" s="3"/>
      <c r="J82" s="3"/>
    </row>
    <row r="83" spans="1:10">
      <c r="A83" s="3">
        <v>81</v>
      </c>
      <c r="B83" s="3"/>
      <c r="C83" s="3"/>
      <c r="D83" s="3" t="s">
        <v>168</v>
      </c>
      <c r="E83" s="3" t="s">
        <v>91</v>
      </c>
      <c r="F83" s="13" t="s">
        <v>169</v>
      </c>
      <c r="G83" s="3">
        <v>0.5</v>
      </c>
      <c r="H83" s="3"/>
      <c r="I83" s="3"/>
      <c r="J83" s="3"/>
    </row>
    <row r="84" spans="1:10">
      <c r="A84" s="3">
        <v>82</v>
      </c>
      <c r="B84" s="3"/>
      <c r="C84" s="3"/>
      <c r="D84" s="3"/>
      <c r="E84" s="3" t="s">
        <v>170</v>
      </c>
      <c r="F84" s="13" t="s">
        <v>171</v>
      </c>
      <c r="G84" s="3">
        <v>0.5</v>
      </c>
      <c r="H84" s="3"/>
      <c r="I84" s="3"/>
      <c r="J84" s="3"/>
    </row>
    <row r="85" spans="1:10">
      <c r="A85" s="3">
        <v>83</v>
      </c>
      <c r="B85" s="3"/>
      <c r="C85" s="3"/>
      <c r="D85" s="3" t="s">
        <v>172</v>
      </c>
      <c r="E85" s="3" t="s">
        <v>173</v>
      </c>
      <c r="F85" s="13" t="s">
        <v>174</v>
      </c>
      <c r="G85" s="3">
        <v>0.5</v>
      </c>
      <c r="H85" s="3"/>
      <c r="I85" s="3"/>
      <c r="J85" s="3"/>
    </row>
    <row r="86" spans="1:10">
      <c r="A86" s="3">
        <v>84</v>
      </c>
      <c r="B86" s="3"/>
      <c r="C86" s="3"/>
      <c r="D86" s="3"/>
      <c r="E86" s="3" t="s">
        <v>36</v>
      </c>
      <c r="F86" s="13" t="s">
        <v>175</v>
      </c>
      <c r="G86" s="3">
        <v>1</v>
      </c>
      <c r="H86" s="3"/>
      <c r="I86" s="3"/>
      <c r="J86" s="3"/>
    </row>
    <row r="87" spans="1:10">
      <c r="A87" s="3">
        <v>85</v>
      </c>
      <c r="B87" s="3"/>
      <c r="C87" s="3"/>
      <c r="D87" s="3"/>
      <c r="E87" s="3" t="s">
        <v>149</v>
      </c>
      <c r="F87" s="13" t="s">
        <v>176</v>
      </c>
      <c r="G87" s="3">
        <v>1</v>
      </c>
      <c r="H87" s="3"/>
      <c r="I87" s="3"/>
      <c r="J87" s="3"/>
    </row>
    <row r="88" ht="41" spans="1:10">
      <c r="A88" s="3">
        <v>86</v>
      </c>
      <c r="B88" s="3"/>
      <c r="C88" s="3" t="s">
        <v>96</v>
      </c>
      <c r="D88" s="3" t="s">
        <v>97</v>
      </c>
      <c r="E88" s="3" t="s">
        <v>177</v>
      </c>
      <c r="F88" s="13" t="s">
        <v>101</v>
      </c>
      <c r="G88" s="3">
        <v>1</v>
      </c>
      <c r="H88" s="3"/>
      <c r="I88" s="3"/>
      <c r="J88" s="3"/>
    </row>
    <row r="89" spans="1:10">
      <c r="A89" s="3">
        <v>87</v>
      </c>
      <c r="B89" s="3"/>
      <c r="C89" s="3"/>
      <c r="D89" s="3"/>
      <c r="E89" s="3" t="s">
        <v>178</v>
      </c>
      <c r="F89" s="13" t="s">
        <v>179</v>
      </c>
      <c r="G89" s="3">
        <v>0.5</v>
      </c>
      <c r="H89" s="3"/>
      <c r="I89" s="3"/>
      <c r="J89" s="3"/>
    </row>
    <row r="90" spans="1:10">
      <c r="A90" s="3">
        <v>88</v>
      </c>
      <c r="B90" s="3"/>
      <c r="C90" s="3"/>
      <c r="D90" s="3"/>
      <c r="E90" s="3" t="s">
        <v>180</v>
      </c>
      <c r="F90" s="13" t="s">
        <v>181</v>
      </c>
      <c r="G90" s="3">
        <v>0.5</v>
      </c>
      <c r="H90" s="3"/>
      <c r="I90" s="3"/>
      <c r="J90" s="3"/>
    </row>
    <row r="91" spans="1:10">
      <c r="A91" s="3">
        <v>89</v>
      </c>
      <c r="B91" s="3"/>
      <c r="C91" s="3"/>
      <c r="D91" s="3"/>
      <c r="E91" s="3" t="s">
        <v>144</v>
      </c>
      <c r="F91" s="13" t="s">
        <v>182</v>
      </c>
      <c r="G91" s="3">
        <v>0.5</v>
      </c>
      <c r="H91" s="3"/>
      <c r="I91" s="3"/>
      <c r="J91" s="3"/>
    </row>
    <row r="92" spans="1:10">
      <c r="A92" s="3">
        <v>90</v>
      </c>
      <c r="B92" s="3"/>
      <c r="C92" s="3"/>
      <c r="D92" s="3"/>
      <c r="E92" s="3" t="s">
        <v>36</v>
      </c>
      <c r="F92" s="13" t="s">
        <v>99</v>
      </c>
      <c r="G92" s="3">
        <v>1</v>
      </c>
      <c r="H92" s="3"/>
      <c r="I92" s="3"/>
      <c r="J92" s="3"/>
    </row>
    <row r="93" ht="41" spans="1:10">
      <c r="A93" s="3">
        <v>91</v>
      </c>
      <c r="B93" s="3"/>
      <c r="C93" s="3"/>
      <c r="D93" s="3" t="s">
        <v>108</v>
      </c>
      <c r="E93" s="3" t="s">
        <v>183</v>
      </c>
      <c r="F93" s="13" t="s">
        <v>184</v>
      </c>
      <c r="G93" s="3">
        <v>2</v>
      </c>
      <c r="H93" s="3"/>
      <c r="I93" s="3"/>
      <c r="J93" s="3"/>
    </row>
    <row r="94" spans="1:10">
      <c r="A94" s="3">
        <v>92</v>
      </c>
      <c r="B94" s="3"/>
      <c r="C94" s="3"/>
      <c r="D94" s="3"/>
      <c r="E94" s="3" t="s">
        <v>185</v>
      </c>
      <c r="F94" s="13" t="s">
        <v>179</v>
      </c>
      <c r="G94" s="3">
        <v>1</v>
      </c>
      <c r="H94" s="3"/>
      <c r="I94" s="3"/>
      <c r="J94" s="3"/>
    </row>
    <row r="95" spans="1:10">
      <c r="A95" s="3">
        <v>93</v>
      </c>
      <c r="B95" s="3"/>
      <c r="C95" s="3"/>
      <c r="D95" s="3"/>
      <c r="E95" s="3" t="s">
        <v>180</v>
      </c>
      <c r="F95" s="13" t="s">
        <v>186</v>
      </c>
      <c r="G95" s="3">
        <v>1</v>
      </c>
      <c r="H95" s="3"/>
      <c r="I95" s="3"/>
      <c r="J95" s="3"/>
    </row>
    <row r="96" spans="1:10">
      <c r="A96" s="3">
        <v>94</v>
      </c>
      <c r="B96" s="3"/>
      <c r="C96" s="3"/>
      <c r="D96" s="3"/>
      <c r="E96" s="3" t="s">
        <v>144</v>
      </c>
      <c r="F96" s="13" t="s">
        <v>187</v>
      </c>
      <c r="G96" s="3">
        <v>1</v>
      </c>
      <c r="H96" s="3"/>
      <c r="I96" s="3"/>
      <c r="J96" s="3"/>
    </row>
    <row r="97" spans="1:10">
      <c r="A97" s="3">
        <v>95</v>
      </c>
      <c r="B97" s="3"/>
      <c r="C97" s="3"/>
      <c r="D97" s="3"/>
      <c r="E97" s="3" t="s">
        <v>36</v>
      </c>
      <c r="F97" s="13" t="s">
        <v>99</v>
      </c>
      <c r="G97" s="3">
        <v>1</v>
      </c>
      <c r="H97" s="3"/>
      <c r="I97" s="3"/>
      <c r="J97" s="3"/>
    </row>
    <row r="98" spans="1:10">
      <c r="A98" s="3">
        <v>96</v>
      </c>
      <c r="B98" s="3"/>
      <c r="C98" s="3"/>
      <c r="D98" s="3" t="s">
        <v>104</v>
      </c>
      <c r="E98" s="3" t="s">
        <v>188</v>
      </c>
      <c r="F98" s="13" t="s">
        <v>189</v>
      </c>
      <c r="G98" s="3">
        <v>1</v>
      </c>
      <c r="H98" s="3"/>
      <c r="I98" s="3"/>
      <c r="J98" s="3"/>
    </row>
    <row r="99" spans="1:10">
      <c r="A99" s="3">
        <v>97</v>
      </c>
      <c r="B99" s="3"/>
      <c r="C99" s="3"/>
      <c r="D99" s="3"/>
      <c r="E99" s="3" t="s">
        <v>190</v>
      </c>
      <c r="F99" s="13" t="s">
        <v>191</v>
      </c>
      <c r="G99" s="3">
        <v>1</v>
      </c>
      <c r="H99" s="3"/>
      <c r="I99" s="3"/>
      <c r="J99" s="3"/>
    </row>
    <row r="100" spans="1:10">
      <c r="A100" s="3">
        <v>98</v>
      </c>
      <c r="B100" s="3"/>
      <c r="C100" s="3"/>
      <c r="D100" s="3"/>
      <c r="E100" s="3" t="s">
        <v>144</v>
      </c>
      <c r="F100" s="13" t="s">
        <v>192</v>
      </c>
      <c r="G100" s="3">
        <v>1</v>
      </c>
      <c r="H100" s="3"/>
      <c r="I100" s="3"/>
      <c r="J100" s="3"/>
    </row>
    <row r="101" spans="1:10">
      <c r="A101" s="3">
        <v>99</v>
      </c>
      <c r="B101" s="3"/>
      <c r="C101" s="3"/>
      <c r="D101" s="3"/>
      <c r="E101" s="3" t="s">
        <v>36</v>
      </c>
      <c r="F101" s="13" t="s">
        <v>99</v>
      </c>
      <c r="G101" s="3">
        <v>1</v>
      </c>
      <c r="H101" s="3"/>
      <c r="I101" s="3"/>
      <c r="J101" s="3"/>
    </row>
    <row r="102" spans="1:10">
      <c r="A102" s="3">
        <v>100</v>
      </c>
      <c r="B102" s="3"/>
      <c r="C102" s="3" t="s">
        <v>193</v>
      </c>
      <c r="D102" s="3" t="s">
        <v>194</v>
      </c>
      <c r="E102" s="3" t="s">
        <v>195</v>
      </c>
      <c r="F102" s="13" t="s">
        <v>196</v>
      </c>
      <c r="G102" s="3">
        <v>0.5</v>
      </c>
      <c r="H102" s="3"/>
      <c r="I102" s="3"/>
      <c r="J102" s="3"/>
    </row>
    <row r="103" spans="1:10">
      <c r="A103" s="3">
        <v>101</v>
      </c>
      <c r="B103" s="3"/>
      <c r="C103" s="3"/>
      <c r="D103" s="3"/>
      <c r="E103" s="3" t="s">
        <v>197</v>
      </c>
      <c r="F103" s="13" t="s">
        <v>198</v>
      </c>
      <c r="G103" s="3">
        <v>0.5</v>
      </c>
      <c r="H103" s="3"/>
      <c r="I103" s="3"/>
      <c r="J103" s="3"/>
    </row>
    <row r="104" spans="1:10">
      <c r="A104" s="3">
        <v>102</v>
      </c>
      <c r="B104" s="3"/>
      <c r="C104" s="3"/>
      <c r="D104" s="3"/>
      <c r="E104" s="3" t="s">
        <v>149</v>
      </c>
      <c r="F104" s="13" t="s">
        <v>199</v>
      </c>
      <c r="G104" s="3">
        <v>0.5</v>
      </c>
      <c r="H104" s="3"/>
      <c r="I104" s="3"/>
      <c r="J104" s="3"/>
    </row>
    <row r="105" spans="1:10">
      <c r="A105" s="3">
        <v>103</v>
      </c>
      <c r="B105" s="3"/>
      <c r="C105" s="3"/>
      <c r="D105" s="3"/>
      <c r="E105" s="3" t="s">
        <v>36</v>
      </c>
      <c r="F105" s="13" t="s">
        <v>99</v>
      </c>
      <c r="G105" s="3">
        <v>0.5</v>
      </c>
      <c r="H105" s="3"/>
      <c r="I105" s="3"/>
      <c r="J105" s="3"/>
    </row>
    <row r="106" spans="1:10">
      <c r="A106" s="3">
        <v>104</v>
      </c>
      <c r="B106" s="3"/>
      <c r="C106" s="3"/>
      <c r="D106" s="3" t="s">
        <v>200</v>
      </c>
      <c r="E106" s="3" t="s">
        <v>201</v>
      </c>
      <c r="F106" s="13" t="s">
        <v>202</v>
      </c>
      <c r="G106" s="3">
        <v>1</v>
      </c>
      <c r="H106" s="3"/>
      <c r="I106" s="3"/>
      <c r="J106" s="3"/>
    </row>
    <row r="107" spans="1:10">
      <c r="A107" s="3">
        <v>105</v>
      </c>
      <c r="B107" s="3"/>
      <c r="C107" s="3"/>
      <c r="D107" s="3"/>
      <c r="E107" s="3" t="s">
        <v>185</v>
      </c>
      <c r="F107" s="13" t="s">
        <v>203</v>
      </c>
      <c r="G107" s="3">
        <v>0.5</v>
      </c>
      <c r="H107" s="3"/>
      <c r="I107" s="3"/>
      <c r="J107" s="3"/>
    </row>
    <row r="108" spans="1:10">
      <c r="A108" s="3">
        <v>106</v>
      </c>
      <c r="B108" s="3"/>
      <c r="C108" s="3"/>
      <c r="D108" s="3"/>
      <c r="E108" s="3" t="s">
        <v>149</v>
      </c>
      <c r="F108" s="13" t="s">
        <v>204</v>
      </c>
      <c r="G108" s="3">
        <v>0.5</v>
      </c>
      <c r="H108" s="3"/>
      <c r="I108" s="3"/>
      <c r="J108" s="3"/>
    </row>
    <row r="109" spans="1:10">
      <c r="A109" s="3">
        <v>107</v>
      </c>
      <c r="B109" s="3"/>
      <c r="C109" s="3"/>
      <c r="D109" s="3"/>
      <c r="E109" s="3" t="s">
        <v>36</v>
      </c>
      <c r="F109" s="13" t="s">
        <v>99</v>
      </c>
      <c r="G109" s="3">
        <v>1</v>
      </c>
      <c r="H109" s="3"/>
      <c r="I109" s="3"/>
      <c r="J109" s="3"/>
    </row>
    <row r="110" spans="1:10">
      <c r="A110" s="3">
        <v>108</v>
      </c>
      <c r="B110" s="3"/>
      <c r="C110" s="3" t="s">
        <v>205</v>
      </c>
      <c r="D110" s="3" t="s">
        <v>114</v>
      </c>
      <c r="E110" s="3" t="s">
        <v>36</v>
      </c>
      <c r="F110" s="13" t="s">
        <v>99</v>
      </c>
      <c r="G110" s="3">
        <v>1</v>
      </c>
      <c r="H110" s="3"/>
      <c r="I110" s="3"/>
      <c r="J110" s="3"/>
    </row>
    <row r="111" spans="1:10">
      <c r="A111" s="3">
        <v>109</v>
      </c>
      <c r="B111" s="3"/>
      <c r="C111" s="3"/>
      <c r="D111" s="3"/>
      <c r="E111" s="3" t="s">
        <v>149</v>
      </c>
      <c r="F111" s="13" t="s">
        <v>206</v>
      </c>
      <c r="G111" s="3">
        <v>0.5</v>
      </c>
      <c r="H111" s="3"/>
      <c r="I111" s="3"/>
      <c r="J111" s="3"/>
    </row>
    <row r="112" spans="1:10">
      <c r="A112" s="3">
        <v>110</v>
      </c>
      <c r="B112" s="3"/>
      <c r="C112" s="3" t="s">
        <v>207</v>
      </c>
      <c r="D112" s="3" t="s">
        <v>118</v>
      </c>
      <c r="E112" s="3" t="s">
        <v>208</v>
      </c>
      <c r="F112" s="13" t="s">
        <v>209</v>
      </c>
      <c r="G112" s="3">
        <v>0.5</v>
      </c>
      <c r="H112" s="3"/>
      <c r="I112" s="3"/>
      <c r="J112" s="3"/>
    </row>
    <row r="113" spans="1:10">
      <c r="A113" s="3">
        <v>111</v>
      </c>
      <c r="B113" s="3"/>
      <c r="C113" s="3"/>
      <c r="D113" s="3"/>
      <c r="E113" s="3" t="s">
        <v>210</v>
      </c>
      <c r="F113" s="13" t="s">
        <v>211</v>
      </c>
      <c r="G113" s="3">
        <v>0.5</v>
      </c>
      <c r="H113" s="3"/>
      <c r="I113" s="3"/>
      <c r="J113" s="3"/>
    </row>
    <row r="114" spans="1:10">
      <c r="A114" s="3">
        <v>112</v>
      </c>
      <c r="B114" s="3"/>
      <c r="C114" s="3"/>
      <c r="D114" s="3"/>
      <c r="E114" s="3" t="s">
        <v>122</v>
      </c>
      <c r="F114" s="13" t="s">
        <v>212</v>
      </c>
      <c r="G114" s="3">
        <v>0.5</v>
      </c>
      <c r="H114" s="3"/>
      <c r="I114" s="3"/>
      <c r="J114" s="3"/>
    </row>
    <row r="115" spans="1:10">
      <c r="A115" s="3">
        <v>113</v>
      </c>
      <c r="B115" s="3"/>
      <c r="C115" s="3" t="s">
        <v>213</v>
      </c>
      <c r="D115" s="3" t="s">
        <v>214</v>
      </c>
      <c r="E115" s="3" t="s">
        <v>215</v>
      </c>
      <c r="F115" s="13" t="s">
        <v>216</v>
      </c>
      <c r="G115" s="3">
        <v>0.5</v>
      </c>
      <c r="H115" s="3"/>
      <c r="I115" s="3"/>
      <c r="J115" s="3"/>
    </row>
    <row r="116" spans="1:10">
      <c r="A116" s="3">
        <v>114</v>
      </c>
      <c r="B116" s="3"/>
      <c r="C116" s="3"/>
      <c r="D116" s="3"/>
      <c r="E116" s="3" t="s">
        <v>217</v>
      </c>
      <c r="F116" s="13" t="s">
        <v>218</v>
      </c>
      <c r="G116" s="3">
        <v>1</v>
      </c>
      <c r="H116" s="3"/>
      <c r="I116" s="3"/>
      <c r="J116" s="3"/>
    </row>
    <row r="117" spans="1:10">
      <c r="A117" s="3">
        <v>115</v>
      </c>
      <c r="B117" s="3"/>
      <c r="C117" s="3"/>
      <c r="D117" s="3"/>
      <c r="E117" s="3" t="s">
        <v>219</v>
      </c>
      <c r="F117" s="13" t="s">
        <v>220</v>
      </c>
      <c r="G117" s="3">
        <v>0.5</v>
      </c>
      <c r="H117" s="3"/>
      <c r="I117" s="3"/>
      <c r="J117" s="3"/>
    </row>
    <row r="118" spans="1:10">
      <c r="A118" s="3">
        <v>116</v>
      </c>
      <c r="B118" s="3"/>
      <c r="C118" s="3"/>
      <c r="D118" s="3" t="s">
        <v>221</v>
      </c>
      <c r="E118" s="3" t="s">
        <v>222</v>
      </c>
      <c r="F118" s="13" t="s">
        <v>223</v>
      </c>
      <c r="G118" s="3">
        <v>1</v>
      </c>
      <c r="H118" s="3"/>
      <c r="I118" s="3"/>
      <c r="J118" s="3"/>
    </row>
    <row r="119" spans="1:10">
      <c r="A119" s="3">
        <v>117</v>
      </c>
      <c r="B119" s="3"/>
      <c r="C119" s="3"/>
      <c r="D119" s="3" t="s">
        <v>224</v>
      </c>
      <c r="E119" s="3" t="s">
        <v>225</v>
      </c>
      <c r="F119" s="13" t="s">
        <v>226</v>
      </c>
      <c r="G119" s="3">
        <v>0.5</v>
      </c>
      <c r="H119" s="3"/>
      <c r="I119" s="3"/>
      <c r="J119" s="3"/>
    </row>
    <row r="120" spans="1:10">
      <c r="A120" s="3">
        <v>118</v>
      </c>
      <c r="B120" s="3"/>
      <c r="C120" s="3"/>
      <c r="D120" s="3"/>
      <c r="E120" s="3" t="s">
        <v>227</v>
      </c>
      <c r="F120" s="13" t="s">
        <v>228</v>
      </c>
      <c r="G120" s="3">
        <v>1</v>
      </c>
      <c r="H120" s="3"/>
      <c r="I120" s="3"/>
      <c r="J120" s="3"/>
    </row>
    <row r="121" spans="1:10">
      <c r="A121" s="3">
        <v>119</v>
      </c>
      <c r="B121" s="3"/>
      <c r="C121" s="3"/>
      <c r="D121" s="3"/>
      <c r="E121" s="3" t="s">
        <v>229</v>
      </c>
      <c r="F121" s="13" t="s">
        <v>230</v>
      </c>
      <c r="G121" s="3">
        <v>1</v>
      </c>
      <c r="H121" s="3"/>
      <c r="I121" s="3"/>
      <c r="J121" s="3"/>
    </row>
    <row r="122" spans="1:10">
      <c r="A122" s="3">
        <v>120</v>
      </c>
      <c r="B122" s="3"/>
      <c r="C122" s="3"/>
      <c r="D122" s="3"/>
      <c r="E122" s="3" t="s">
        <v>231</v>
      </c>
      <c r="F122" s="13" t="s">
        <v>232</v>
      </c>
      <c r="G122" s="3">
        <v>2</v>
      </c>
      <c r="H122" s="3"/>
      <c r="I122" s="3"/>
      <c r="J122" s="3"/>
    </row>
    <row r="123" spans="1:10">
      <c r="A123" s="3">
        <v>121</v>
      </c>
      <c r="B123" s="3"/>
      <c r="C123" s="3"/>
      <c r="D123" s="3"/>
      <c r="E123" s="3" t="s">
        <v>219</v>
      </c>
      <c r="F123" s="13" t="s">
        <v>233</v>
      </c>
      <c r="G123" s="3">
        <v>1</v>
      </c>
      <c r="H123" s="3"/>
      <c r="I123" s="3"/>
      <c r="J123" s="3"/>
    </row>
    <row r="124" spans="1:10">
      <c r="A124" s="3">
        <v>122</v>
      </c>
      <c r="B124" s="3"/>
      <c r="C124" s="3"/>
      <c r="D124" s="3" t="s">
        <v>234</v>
      </c>
      <c r="E124" s="3" t="s">
        <v>235</v>
      </c>
      <c r="F124" s="13" t="s">
        <v>236</v>
      </c>
      <c r="G124" s="3">
        <v>1</v>
      </c>
      <c r="H124" s="3"/>
      <c r="I124" s="3"/>
      <c r="J124" s="3"/>
    </row>
    <row r="125" spans="1:10">
      <c r="A125" s="3">
        <v>123</v>
      </c>
      <c r="B125" s="3"/>
      <c r="C125" s="3"/>
      <c r="D125" s="3"/>
      <c r="E125" s="3" t="s">
        <v>237</v>
      </c>
      <c r="F125" s="13" t="s">
        <v>238</v>
      </c>
      <c r="G125" s="3">
        <v>1</v>
      </c>
      <c r="H125" s="3"/>
      <c r="I125" s="3"/>
      <c r="J125" s="3"/>
    </row>
    <row r="126" spans="1:10">
      <c r="A126" s="3">
        <v>124</v>
      </c>
      <c r="B126" s="3"/>
      <c r="C126" s="3"/>
      <c r="D126" s="3"/>
      <c r="E126" s="3" t="s">
        <v>239</v>
      </c>
      <c r="F126" s="13" t="s">
        <v>240</v>
      </c>
      <c r="G126" s="3">
        <v>1</v>
      </c>
      <c r="H126" s="3"/>
      <c r="I126" s="3"/>
      <c r="J126" s="3"/>
    </row>
    <row r="127" spans="1:10">
      <c r="A127" s="3">
        <v>125</v>
      </c>
      <c r="B127" s="3"/>
      <c r="C127" s="3"/>
      <c r="D127" s="3"/>
      <c r="E127" s="3" t="s">
        <v>241</v>
      </c>
      <c r="F127" s="13" t="s">
        <v>242</v>
      </c>
      <c r="G127" s="3">
        <v>1</v>
      </c>
      <c r="H127" s="3"/>
      <c r="I127" s="3"/>
      <c r="J127" s="3"/>
    </row>
    <row r="128" spans="1:10">
      <c r="A128" s="3" t="s">
        <v>243</v>
      </c>
      <c r="B128" s="3"/>
      <c r="C128" s="3"/>
      <c r="D128" s="3"/>
      <c r="E128" s="3"/>
      <c r="F128" s="3"/>
      <c r="G128" s="3">
        <f>SUM(G1:G125)</f>
        <v>135</v>
      </c>
      <c r="H128" s="3">
        <f>SUM(H1:H125)</f>
        <v>65</v>
      </c>
      <c r="I128" s="3">
        <f t="shared" ref="I128:J128" si="0">SUM(I1:I125)</f>
        <v>5</v>
      </c>
      <c r="J128" s="3">
        <f t="shared" si="0"/>
        <v>5</v>
      </c>
    </row>
    <row r="129" spans="1:10">
      <c r="A129" s="3" t="s">
        <v>244</v>
      </c>
      <c r="B129" s="3"/>
      <c r="C129" s="3"/>
      <c r="D129" s="3"/>
      <c r="E129" s="3"/>
      <c r="F129" s="3"/>
      <c r="G129" s="3">
        <v>20</v>
      </c>
      <c r="H129" s="3"/>
      <c r="I129" s="3"/>
      <c r="J129" s="3"/>
    </row>
    <row r="130" spans="1:10">
      <c r="A130" s="3" t="s">
        <v>245</v>
      </c>
      <c r="B130" s="3"/>
      <c r="C130" s="3"/>
      <c r="D130" s="3"/>
      <c r="E130" s="3"/>
      <c r="F130" s="3"/>
      <c r="G130" s="3">
        <v>25</v>
      </c>
      <c r="H130" s="3"/>
      <c r="I130" s="3"/>
      <c r="J130" s="3"/>
    </row>
    <row r="131" spans="1:10">
      <c r="A131" s="3" t="s">
        <v>246</v>
      </c>
      <c r="B131" s="3"/>
      <c r="C131" s="3"/>
      <c r="D131" s="3"/>
      <c r="E131" s="3"/>
      <c r="F131" s="3"/>
      <c r="G131" s="3">
        <f>SUM(G128:J130)</f>
        <v>255</v>
      </c>
      <c r="H131" s="3"/>
      <c r="I131" s="3"/>
      <c r="J131" s="3"/>
    </row>
    <row r="132" ht="14.3" spans="1:10">
      <c r="A132" s="3" t="s">
        <v>247</v>
      </c>
      <c r="B132" s="3"/>
      <c r="C132" s="3"/>
      <c r="D132" s="3"/>
      <c r="E132" s="3"/>
      <c r="F132" s="3"/>
      <c r="G132" s="15">
        <v>510000</v>
      </c>
      <c r="H132" s="16"/>
      <c r="I132" s="16"/>
      <c r="J132" s="16"/>
    </row>
  </sheetData>
  <mergeCells count="62">
    <mergeCell ref="A1:J1"/>
    <mergeCell ref="A128:F128"/>
    <mergeCell ref="A129:F129"/>
    <mergeCell ref="G129:J129"/>
    <mergeCell ref="A130:F130"/>
    <mergeCell ref="G130:J130"/>
    <mergeCell ref="A131:F131"/>
    <mergeCell ref="G131:J131"/>
    <mergeCell ref="A132:F132"/>
    <mergeCell ref="G132:J132"/>
    <mergeCell ref="B3:B52"/>
    <mergeCell ref="B53:B127"/>
    <mergeCell ref="C3:C16"/>
    <mergeCell ref="C17:C25"/>
    <mergeCell ref="C26:C31"/>
    <mergeCell ref="C32:C40"/>
    <mergeCell ref="C41:C42"/>
    <mergeCell ref="C43:C45"/>
    <mergeCell ref="C46:C49"/>
    <mergeCell ref="C50:C52"/>
    <mergeCell ref="C53:C75"/>
    <mergeCell ref="C76:C87"/>
    <mergeCell ref="C88:C101"/>
    <mergeCell ref="C102:C109"/>
    <mergeCell ref="C110:C111"/>
    <mergeCell ref="C112:C114"/>
    <mergeCell ref="C115:C127"/>
    <mergeCell ref="D3:D6"/>
    <mergeCell ref="D7:D10"/>
    <mergeCell ref="D11:D14"/>
    <mergeCell ref="D15:D16"/>
    <mergeCell ref="D17:D20"/>
    <mergeCell ref="D21:D24"/>
    <mergeCell ref="D26:D27"/>
    <mergeCell ref="D30:D31"/>
    <mergeCell ref="D32:D34"/>
    <mergeCell ref="D35:D36"/>
    <mergeCell ref="D37:D40"/>
    <mergeCell ref="D48:D49"/>
    <mergeCell ref="D50:D52"/>
    <mergeCell ref="D53:D58"/>
    <mergeCell ref="D59:D64"/>
    <mergeCell ref="D65:D70"/>
    <mergeCell ref="D71:D75"/>
    <mergeCell ref="D76:D79"/>
    <mergeCell ref="D80:D82"/>
    <mergeCell ref="D83:D84"/>
    <mergeCell ref="D85:D87"/>
    <mergeCell ref="D88:D92"/>
    <mergeCell ref="D93:D97"/>
    <mergeCell ref="D98:D101"/>
    <mergeCell ref="D102:D105"/>
    <mergeCell ref="D106:D109"/>
    <mergeCell ref="D110:D111"/>
    <mergeCell ref="D112:D114"/>
    <mergeCell ref="D115:D117"/>
    <mergeCell ref="D119:D123"/>
    <mergeCell ref="D124:D127"/>
    <mergeCell ref="H3:H52"/>
    <mergeCell ref="H53:H127"/>
    <mergeCell ref="I3:I127"/>
    <mergeCell ref="J3:J12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F18" sqref="F18"/>
    </sheetView>
  </sheetViews>
  <sheetFormatPr defaultColWidth="8.89380530973451" defaultRowHeight="14.3" outlineLevelRow="6" outlineLevelCol="2"/>
  <cols>
    <col min="1" max="1" width="7.42477876106195" customWidth="1"/>
    <col min="2" max="2" width="41.3893805309735" customWidth="1"/>
    <col min="3" max="3" width="14.7964601769912" customWidth="1"/>
  </cols>
  <sheetData>
    <row r="1" ht="14.35" spans="1:3">
      <c r="A1" s="1" t="s">
        <v>248</v>
      </c>
      <c r="B1" s="1" t="s">
        <v>249</v>
      </c>
      <c r="C1" s="1" t="s">
        <v>250</v>
      </c>
    </row>
    <row r="2" spans="1:3">
      <c r="A2" s="2" t="s">
        <v>251</v>
      </c>
      <c r="B2" s="2" t="s">
        <v>252</v>
      </c>
      <c r="C2" s="3">
        <v>661</v>
      </c>
    </row>
    <row r="3" spans="1:3">
      <c r="A3" s="2" t="s">
        <v>253</v>
      </c>
      <c r="B3" s="2" t="s">
        <v>254</v>
      </c>
      <c r="C3" s="3">
        <v>520</v>
      </c>
    </row>
    <row r="4" spans="1:3">
      <c r="A4" s="2" t="s">
        <v>255</v>
      </c>
      <c r="B4" s="2" t="s">
        <v>256</v>
      </c>
      <c r="C4" s="3">
        <v>50</v>
      </c>
    </row>
    <row r="5" spans="1:3">
      <c r="A5" s="2" t="s">
        <v>257</v>
      </c>
      <c r="B5" s="2" t="s">
        <v>258</v>
      </c>
      <c r="C5" s="3">
        <v>50</v>
      </c>
    </row>
    <row r="6" spans="1:3">
      <c r="A6" s="4" t="s">
        <v>259</v>
      </c>
      <c r="B6" s="5"/>
      <c r="C6" s="3">
        <v>1281</v>
      </c>
    </row>
    <row r="7" spans="1:3">
      <c r="A7" s="4" t="s">
        <v>260</v>
      </c>
      <c r="B7" s="5"/>
      <c r="C7" s="6">
        <v>15372</v>
      </c>
    </row>
  </sheetData>
  <mergeCells count="2">
    <mergeCell ref="A6:B6"/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报价单</vt:lpstr>
      <vt:lpstr>功能清单</vt:lpstr>
      <vt:lpstr>软件部署服务器租赁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leo</cp:lastModifiedBy>
  <dcterms:created xsi:type="dcterms:W3CDTF">2025-07-09T06:39:00Z</dcterms:created>
  <dcterms:modified xsi:type="dcterms:W3CDTF">2025-10-07T02:02:09Z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E78F2AAFC5364EFB87CD9E9CE3611E31_13</vt:lpwstr>
  </property>
  <property fmtid="{D5CDD505-2E9C-101B-9397-08002B2CF9AE}" pid="3" name="KSOProductBuildVer">
    <vt:lpwstr>2052-12.1.0.22529</vt:lpwstr>
  </property>
</Properties>
</file>